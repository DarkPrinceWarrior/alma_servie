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afae\Downloads\"/>
    </mc:Choice>
  </mc:AlternateContent>
  <xr:revisionPtr revIDLastSave="0" documentId="13_ncr:1_{C3E4F524-80CC-4FB4-B3DE-D0801D319633}" xr6:coauthVersionLast="47" xr6:coauthVersionMax="47" xr10:uidLastSave="{00000000-0000-0000-0000-000000000000}"/>
  <bookViews>
    <workbookView xWindow="-110" yWindow="-110" windowWidth="38620" windowHeight="21100" xr2:uid="{00000000-000D-0000-FFFF-FFFF00000000}"/>
  </bookViews>
  <sheets>
    <sheet name="Лист1" sheetId="1" r:id="rId1"/>
  </sheets>
  <definedNames>
    <definedName name="_xlnm._FilterDatabase" localSheetId="0" hidden="1">Лист1!$A$3:$P$94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66" i="1" l="1"/>
  <c r="M66" i="1"/>
  <c r="N65" i="1"/>
  <c r="M65" i="1"/>
  <c r="L65" i="1" s="1"/>
  <c r="N64" i="1"/>
  <c r="M64" i="1"/>
  <c r="L64" i="1" s="1"/>
  <c r="N63" i="1"/>
  <c r="M63" i="1"/>
  <c r="L63" i="1" s="1"/>
  <c r="N62" i="1"/>
  <c r="M62" i="1"/>
  <c r="L62" i="1"/>
  <c r="N61" i="1"/>
  <c r="M61" i="1"/>
  <c r="L61" i="1" s="1"/>
  <c r="N60" i="1"/>
  <c r="M60" i="1"/>
  <c r="L60" i="1"/>
  <c r="N59" i="1"/>
  <c r="L59" i="1" s="1"/>
  <c r="M59" i="1"/>
  <c r="N58" i="1"/>
  <c r="M58" i="1"/>
  <c r="N57" i="1"/>
  <c r="M57" i="1"/>
  <c r="L57" i="1"/>
  <c r="N56" i="1"/>
  <c r="M56" i="1"/>
  <c r="L56" i="1" s="1"/>
  <c r="N55" i="1"/>
  <c r="M55" i="1"/>
  <c r="L55" i="1"/>
  <c r="N54" i="1"/>
  <c r="M54" i="1"/>
  <c r="N53" i="1"/>
  <c r="M53" i="1"/>
  <c r="N52" i="1"/>
  <c r="M52" i="1"/>
  <c r="L52" i="1" s="1"/>
  <c r="N51" i="1"/>
  <c r="M51" i="1"/>
  <c r="L51" i="1"/>
  <c r="N50" i="1"/>
  <c r="L50" i="1" s="1"/>
  <c r="M50" i="1"/>
  <c r="N49" i="1"/>
  <c r="M49" i="1"/>
  <c r="L49" i="1" s="1"/>
  <c r="N48" i="1"/>
  <c r="M48" i="1"/>
  <c r="L48" i="1"/>
  <c r="N47" i="1"/>
  <c r="M47" i="1"/>
  <c r="L47" i="1" s="1"/>
  <c r="N46" i="1"/>
  <c r="M46" i="1"/>
  <c r="N45" i="1"/>
  <c r="M45" i="1"/>
  <c r="N44" i="1"/>
  <c r="M44" i="1"/>
  <c r="L44" i="1"/>
  <c r="N43" i="1"/>
  <c r="M43" i="1"/>
  <c r="L43" i="1"/>
  <c r="N42" i="1"/>
  <c r="M42" i="1"/>
  <c r="L42" i="1"/>
  <c r="N41" i="1"/>
  <c r="M41" i="1"/>
  <c r="L41" i="1"/>
  <c r="N40" i="1"/>
  <c r="M40" i="1"/>
  <c r="L40" i="1"/>
  <c r="N39" i="1"/>
  <c r="M39" i="1"/>
  <c r="L39" i="1"/>
  <c r="N38" i="1"/>
  <c r="M38" i="1"/>
  <c r="L38" i="1"/>
  <c r="N37" i="1"/>
  <c r="M37" i="1"/>
  <c r="L37" i="1"/>
  <c r="N36" i="1"/>
  <c r="M36" i="1"/>
  <c r="L36" i="1"/>
  <c r="N35" i="1"/>
  <c r="M35" i="1"/>
  <c r="L35" i="1" s="1"/>
  <c r="N34" i="1"/>
  <c r="M34" i="1"/>
  <c r="L34" i="1" s="1"/>
  <c r="N33" i="1"/>
  <c r="M33" i="1"/>
  <c r="L33" i="1" s="1"/>
  <c r="N32" i="1"/>
  <c r="M32" i="1"/>
  <c r="L32" i="1" s="1"/>
  <c r="N31" i="1"/>
  <c r="M31" i="1"/>
  <c r="L31" i="1" s="1"/>
  <c r="N30" i="1"/>
  <c r="M30" i="1"/>
  <c r="L30" i="1" s="1"/>
  <c r="N29" i="1"/>
  <c r="M29" i="1"/>
  <c r="L29" i="1"/>
  <c r="N28" i="1"/>
  <c r="M28" i="1"/>
  <c r="L28" i="1"/>
  <c r="N27" i="1"/>
  <c r="M27" i="1"/>
  <c r="L27" i="1"/>
  <c r="N26" i="1"/>
  <c r="M26" i="1"/>
  <c r="L26" i="1"/>
  <c r="N25" i="1"/>
  <c r="M25" i="1"/>
  <c r="L25" i="1"/>
  <c r="N24" i="1"/>
  <c r="M24" i="1"/>
  <c r="L24" i="1" s="1"/>
  <c r="N23" i="1"/>
  <c r="M23" i="1"/>
  <c r="L23" i="1" s="1"/>
  <c r="N22" i="1"/>
  <c r="M22" i="1"/>
  <c r="N21" i="1"/>
  <c r="M21" i="1"/>
  <c r="N20" i="1"/>
  <c r="M20" i="1"/>
  <c r="N19" i="1"/>
  <c r="M19" i="1"/>
  <c r="L19" i="1"/>
  <c r="N18" i="1"/>
  <c r="M18" i="1"/>
  <c r="L18" i="1" s="1"/>
  <c r="N17" i="1"/>
  <c r="M17" i="1"/>
  <c r="L17" i="1"/>
  <c r="N16" i="1"/>
  <c r="M16" i="1"/>
  <c r="L16" i="1"/>
  <c r="N15" i="1"/>
  <c r="M15" i="1"/>
  <c r="L15" i="1"/>
  <c r="N14" i="1"/>
  <c r="M14" i="1"/>
  <c r="L14" i="1"/>
  <c r="N13" i="1"/>
  <c r="M13" i="1"/>
  <c r="N12" i="1"/>
  <c r="M12" i="1"/>
  <c r="L12" i="1"/>
  <c r="N11" i="1"/>
  <c r="M11" i="1"/>
  <c r="L11" i="1" s="1"/>
  <c r="N10" i="1"/>
  <c r="M10" i="1"/>
  <c r="N9" i="1"/>
  <c r="M9" i="1"/>
  <c r="L9" i="1"/>
  <c r="N8" i="1"/>
  <c r="M8" i="1"/>
  <c r="N7" i="1"/>
  <c r="M7" i="1"/>
  <c r="L7" i="1" s="1"/>
  <c r="N6" i="1"/>
  <c r="M6" i="1"/>
  <c r="L6" i="1"/>
  <c r="N5" i="1"/>
  <c r="M5" i="1"/>
  <c r="L5" i="1"/>
  <c r="N4" i="1"/>
  <c r="M4" i="1"/>
  <c r="L4" i="1"/>
  <c r="L20" i="1" l="1"/>
  <c r="L8" i="1"/>
  <c r="L10" i="1"/>
  <c r="L58" i="1"/>
  <c r="L13" i="1"/>
  <c r="L54" i="1"/>
  <c r="L21" i="1"/>
  <c r="L22" i="1"/>
  <c r="L45" i="1"/>
  <c r="L46" i="1"/>
  <c r="L53" i="1"/>
  <c r="L66" i="1"/>
</calcChain>
</file>

<file path=xl/sharedStrings.xml><?xml version="1.0" encoding="utf-8"?>
<sst xmlns="http://schemas.openxmlformats.org/spreadsheetml/2006/main" count="342" uniqueCount="122">
  <si>
    <t>№</t>
  </si>
  <si>
    <t>Месторождение</t>
  </si>
  <si>
    <t>Скважина</t>
  </si>
  <si>
    <t>Тип аномалии</t>
  </si>
  <si>
    <t>Дата начала выгрузки</t>
  </si>
  <si>
    <t>Дата конца выгрузки</t>
  </si>
  <si>
    <t>Комментарий</t>
  </si>
  <si>
    <t>Дата начала аномалии</t>
  </si>
  <si>
    <t>Дата конца аномалии</t>
  </si>
  <si>
    <t>% аномалии от общей выгрузки</t>
  </si>
  <si>
    <t>Время аномалии</t>
  </si>
  <si>
    <t>Общее время выгрузки</t>
  </si>
  <si>
    <t>Источник данных</t>
  </si>
  <si>
    <t>Файл скважины</t>
  </si>
  <si>
    <t>Кустовое</t>
  </si>
  <si>
    <t>Соли</t>
  </si>
  <si>
    <t>С 22.03.2025 наблюдается снижение давления на приеме без изменения частоты, что предположительно обусловлено снижением пластового давления. После этого 14.04.2025 снижение давления на приеме остановилось и тренд развернулся на рост давления на приеме, что свидетельствует о начале ухудшения работы ГНО. 18.04.2025 произошло резкое незначительное падение давления на приеме в момент увеличения выходной частоты. Такое мгновенное снижение давления на приеме вместе с увеличеничем выходной частоты - нормальное явление. Далее 22.04.2025 повторно увеличение выходной частоты привело к резкому снижению давления на приеме (нормально). После этого 24.04.2025 началось интенсивное отложение солей и рост давления на приеме до конца выгрузки</t>
  </si>
  <si>
    <t>база</t>
  </si>
  <si>
    <t>3245_Кустовое_Соли.xlsx</t>
  </si>
  <si>
    <t>Дружное</t>
  </si>
  <si>
    <t>29.05.2025 наблюдается начало восходящего тренда давления на приеме. Средняя выходная частота при этом также в последнее время увеличивалась и достигла максимальных значений. При этом давление на приеме продолжало идти в рост</t>
  </si>
  <si>
    <t>4039_Дружное_Соли.xlsx</t>
  </si>
  <si>
    <t>02.06.2025 наблюдается начало восходящего тренда давления на приеме до 26.06.2025. 01.07.2025 провели обработку от солей. Давление на приеме начало снижаться. Однако, с 09.07.2025 тренд вновь начал идти вверх, а с 03.08.2025 еще более интенсивнее до 23.08.2025, когда повторно провели обработку от солей. В данном кейсе рассмотрены 2 аномалии по солям</t>
  </si>
  <si>
    <t>408_Дружное_Соли.xlsx</t>
  </si>
  <si>
    <t>3245(2)</t>
  </si>
  <si>
    <t>13.09.2025 начался рост давления на приеме, что свидетельствует об ухудшение работы ГНО, предположительно соли. Далее 16.09.2025 происходит резкое снижение давления на приеме, обусловленное увеличение выходной частоты. Далее с 05.10.2025 наблюдается повторный рост давления на приеме, что опять свидетельствует об ухудшение работы ГНО, предположительно соли. 17.10.2025 происходит резкое снижение давления на приеме вновь вызванное увеличением выходной частоты. Далее сразу плавный трендовый рост давления на приеме и активное образование солей до конца выгрузки.</t>
  </si>
  <si>
    <t>3245(2)_Кустовое_Соли.xlsx</t>
  </si>
  <si>
    <t>1123л</t>
  </si>
  <si>
    <t>Негерметичность НКТ</t>
  </si>
  <si>
    <t>1123л_Кустовое_ННКТ.xlsx</t>
  </si>
  <si>
    <t>Яркое</t>
  </si>
  <si>
    <t>172г</t>
  </si>
  <si>
    <t>172г_Яркое_ННКТ.xlsx</t>
  </si>
  <si>
    <t>Южно-Ягунское</t>
  </si>
  <si>
    <t>Приток</t>
  </si>
  <si>
    <t>495_Южно-Ягунская_Приток.xlsx</t>
  </si>
  <si>
    <t>902_ЮЯ_Приток.xlsx</t>
  </si>
  <si>
    <t>2991г</t>
  </si>
  <si>
    <t>2991г_Соли.xlsx</t>
  </si>
  <si>
    <t>3245.xlsx</t>
  </si>
  <si>
    <t>602_Приток.xlsx</t>
  </si>
  <si>
    <t>122_Кус_Приток.xlsx</t>
  </si>
  <si>
    <t>Восточно-Икилорское</t>
  </si>
  <si>
    <t>305г</t>
  </si>
  <si>
    <t>Нормальное поведение (изменение частоты)</t>
  </si>
  <si>
    <t>После снижения частоты небольшой рост давления на приеме и снижение токовых нагрузок. Это нормальное поведение. Нет аномалий</t>
  </si>
  <si>
    <t>305г_ВИК_Изменение_частоты_Нормальная.xlsx</t>
  </si>
  <si>
    <t>1996л</t>
  </si>
  <si>
    <t>После увеличения частоты небольшое снижение давления на приеме и рост токовых нагрузок. Это нормальное поведение. Нет аномалий</t>
  </si>
  <si>
    <t>1996л_ЮЯ_Изменение_частоты_Нормальная.xlsx</t>
  </si>
  <si>
    <t>1995_ЮЯ_Изменение_частоты_Нормальная.xlsx</t>
  </si>
  <si>
    <t>Новая выборка — 67 дней</t>
  </si>
  <si>
    <t>новая</t>
  </si>
  <si>
    <t>132-1449.xlsx</t>
  </si>
  <si>
    <t>4203У</t>
  </si>
  <si>
    <t>255-4203у.xlsx</t>
  </si>
  <si>
    <t>133-1508.xlsx</t>
  </si>
  <si>
    <t>1442Л</t>
  </si>
  <si>
    <t>133-1442л.xlsx</t>
  </si>
  <si>
    <t>127-5021.xlsx</t>
  </si>
  <si>
    <t>74-3138.xlsx</t>
  </si>
  <si>
    <t>42-1714.xlsx</t>
  </si>
  <si>
    <t>39-691.xlsx</t>
  </si>
  <si>
    <t>200-1062.xlsx</t>
  </si>
  <si>
    <t>46-792.xlsx</t>
  </si>
  <si>
    <t>Была остановка 03.03.2026 (игнорировать ее)</t>
  </si>
  <si>
    <t>34-610.xlsx</t>
  </si>
  <si>
    <t>168-1809.xlsx</t>
  </si>
  <si>
    <t>45-816.xlsx</t>
  </si>
  <si>
    <t>5144г</t>
  </si>
  <si>
    <t>167б-5144г.xlsx</t>
  </si>
  <si>
    <t>45-790.xlsx</t>
  </si>
  <si>
    <t>42-713.xlsx</t>
  </si>
  <si>
    <t>50-1756.xlsx</t>
  </si>
  <si>
    <t>47-3027.xlsx</t>
  </si>
  <si>
    <t>Новая выборка — 68 дней</t>
  </si>
  <si>
    <t>126-1395.xlsx</t>
  </si>
  <si>
    <t>08.10.2025 увеличение выходной частоты незначительно отразилось на давлении на приеме. С 15.10.2025 наблюдается визуально начало восходящего тренда увеличения давления на приеме. 21.10.2025 повторное увеличение выходной частоты немного снизило давление на приеме. Но все равно после этого восходящий тренд давления на приеме продолжился</t>
  </si>
  <si>
    <t>47-3269.xlsx</t>
  </si>
  <si>
    <t>149г</t>
  </si>
  <si>
    <t>С 20.06.2025 начался интенсивный рост давления на приеме. 24.06.2025 снижение давления на приеме вызванное увеличением выходной частоты. Далее вновь рост давления на приеме до конца выгрузки</t>
  </si>
  <si>
    <t>1-149г.xlsx</t>
  </si>
  <si>
    <t>3244Г</t>
  </si>
  <si>
    <t xml:space="preserve">На данной скважине выходная частота увеличивалась трендового, а не ступенчато. Одним из факторов того, что на скважине происходит ухудшение работы ГНО это то, что при увеличении выходной частоты продолжается рост давления на приеме. Как пример, на этой скважине рост давления на приеме начался с 23.11.2025 при этом выходная частота также примерно с этого момента начала увеличиваться. В данном кейсе явно выраженное солеотложение, когда интенсивный рост выходной частоты не может привести к снижению давления на приеме </t>
  </si>
  <si>
    <t>72-3244г.xlsx</t>
  </si>
  <si>
    <t>129л</t>
  </si>
  <si>
    <t>2-129л.xlsx</t>
  </si>
  <si>
    <t>47-3261.xlsx</t>
  </si>
  <si>
    <t>3509г</t>
  </si>
  <si>
    <t>69-3509г.xlsx</t>
  </si>
  <si>
    <t>Новая выборка — 9 дней</t>
  </si>
  <si>
    <t>29-524.xlsx</t>
  </si>
  <si>
    <t>5271г</t>
  </si>
  <si>
    <t>335-5271г.xlsx</t>
  </si>
  <si>
    <t>47-3245.xlsx</t>
  </si>
  <si>
    <t>Нормальная работа</t>
  </si>
  <si>
    <t>norm_work — чисто нормальная работа</t>
  </si>
  <si>
    <t>norm_work</t>
  </si>
  <si>
    <t>1151_ЮЯ_Нормальная работа.xlsx</t>
  </si>
  <si>
    <t>1213л</t>
  </si>
  <si>
    <t>1213л_ЮЯ_Нормальная работа.xlsx</t>
  </si>
  <si>
    <t>1214у</t>
  </si>
  <si>
    <t>1214у_ЮЯ_Нормальная работа.xlsx</t>
  </si>
  <si>
    <t>1247_ЮЯ_Нормальная работа.xlsx</t>
  </si>
  <si>
    <t>126_ЮЯ_Нормальная работа.xlsx</t>
  </si>
  <si>
    <t>129л_ЮЯ_Нормальная работа.xlsx</t>
  </si>
  <si>
    <t>1396у</t>
  </si>
  <si>
    <t>1396у_ЮЯ_Нормальная работа.xlsx</t>
  </si>
  <si>
    <t>144_ЮЯ_Нормальная работа.xlsx</t>
  </si>
  <si>
    <t>220(2)</t>
  </si>
  <si>
    <t>220(2)_Нормальная работа.xlsx</t>
  </si>
  <si>
    <t>220_ЮЯ_Нормальная работа.xlsx</t>
  </si>
  <si>
    <t>254_ЮЯ_Нормальная работа.xlsx</t>
  </si>
  <si>
    <t>2661_ЮЯ_Нормальная работа.xlsx</t>
  </si>
  <si>
    <t>4649_ЮЯ_Нормальная работа.xlsx</t>
  </si>
  <si>
    <t>512_ЮЯ_Нормальная работа.xlsx</t>
  </si>
  <si>
    <t>5302_ЮЯ_Нормальная работа.xlsx</t>
  </si>
  <si>
    <t>5467_ЮЯ_Нормальная работа.xlsx</t>
  </si>
  <si>
    <t>610_ЮЯ_Нормальная работа.xlsx</t>
  </si>
  <si>
    <t>660_ЮЯ_Нормальная работа.xlsx</t>
  </si>
  <si>
    <t>662_ЮЯ_Нормальная работа.xlsx</t>
  </si>
  <si>
    <t>8016_ЮЯ_Нормальная работа.xlsx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</si>
</sst>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yy\ hh:mm"/>
  </numFmts>
  <fonts count="8" x14ac:knownFonts="1">
    <font>
      <sz val="11"/>
      <color theme="1"/>
      <name val="Calibri"/>
      <family val="2"/>
      <charset val="204"/>
      <scheme val="minor"/>
    </font>
    <font>
      <sz val="9"/>
      <name val="Times New Roman"/>
      <family val="1"/>
    </font>
    <font>
      <sz val="11"/>
      <color theme="1"/>
      <name val="Calibri"/>
      <family val="2"/>
      <charset val="204"/>
      <scheme val="minor"/>
    </font>
    <font>
      <sz val="11"/>
      <color rgb="FF000000"/>
      <name val="Calibri"/>
      <scheme val="minor"/>
    </font>
    <font>
      <b/>
      <sz val="11"/>
      <color rgb="FFFFFFFF"/>
      <name val="Calibri"/>
      <family val="2"/>
      <charset val="204"/>
      <scheme val="minor"/>
    </font>
    <font>
      <sz val="10"/>
      <color rgb="FF000000"/>
      <name val="Calibri"/>
      <scheme val="minor"/>
    </font>
    <font>
      <sz val="11"/>
      <color rgb="FF7F7F7F"/>
      <name val="Calibri"/>
      <scheme val="minor"/>
    </font>
    <font>
      <b/>
      <sz val="11"/>
      <color rgb="FFFFFFFF"/>
      <name val="Calibri"/>
    </font>
  </fonts>
  <fills count="5">
    <fill>
      <patternFill patternType="none"/>
    </fill>
    <fill>
      <patternFill patternType="gray125"/>
    </fill>
    <fill>
      <patternFill patternType="solid">
        <fgColor rgb="FFF2F5FA"/>
        <bgColor indexed="64"/>
      </patternFill>
    </fill>
    <fill>
      <patternFill patternType="solid">
        <fgColor rgb="FFFFFFFF"/>
        <bgColor indexed="64"/>
      </patternFill>
    </fill>
    <fill>
      <patternFill patternType="solid">
        <fgColor rgb="FF1F3864"/>
        <bgColor indexed="64"/>
      </patternFill>
    </fill>
  </fills>
  <borders count="15">
    <border>
      <left/>
      <right/>
      <top/>
      <bottom/>
      <diagonal/>
    </border>
    <border>
      <left style="thin">
        <color rgb="FFD0D7E5"/>
      </left>
      <right style="thin">
        <color rgb="FFD0D7E5"/>
      </right>
      <top style="thin">
        <color rgb="FFD0D7E5"/>
      </top>
      <bottom style="thin">
        <color rgb="FFD0D7E5"/>
      </bottom>
      <diagonal/>
    </border>
    <border>
      <left style="medium">
        <color rgb="FF1F3864"/>
      </left>
      <right style="thin">
        <color rgb="FFD0D7E5"/>
      </right>
      <top style="thin">
        <color rgb="FFD0D7E5"/>
      </top>
      <bottom style="thin">
        <color rgb="FFD0D7E5"/>
      </bottom>
      <diagonal/>
    </border>
    <border>
      <left style="thin">
        <color rgb="FFD0D7E5"/>
      </left>
      <right style="medium">
        <color rgb="FF1F3864"/>
      </right>
      <top style="thin">
        <color rgb="FFD0D7E5"/>
      </top>
      <bottom style="thin">
        <color rgb="FFD0D7E5"/>
      </bottom>
      <diagonal/>
    </border>
    <border>
      <left style="medium">
        <color rgb="FF1F3864"/>
      </left>
      <right style="thin">
        <color rgb="FFD0D7E5"/>
      </right>
      <top/>
      <bottom style="thin">
        <color rgb="FFD0D7E5"/>
      </bottom>
      <diagonal/>
    </border>
    <border>
      <left style="thin">
        <color rgb="FFD0D7E5"/>
      </left>
      <right style="medium">
        <color rgb="FF1F3864"/>
      </right>
      <top/>
      <bottom style="thin">
        <color rgb="FFD0D7E5"/>
      </bottom>
      <diagonal/>
    </border>
    <border>
      <left style="medium">
        <color rgb="FF1F3864"/>
      </left>
      <right style="thin">
        <color rgb="FFD0D7E5"/>
      </right>
      <top style="medium">
        <color rgb="FF1F3864"/>
      </top>
      <bottom style="medium">
        <color rgb="FF1F3864"/>
      </bottom>
      <diagonal/>
    </border>
    <border>
      <left style="thin">
        <color rgb="FFD0D7E5"/>
      </left>
      <right style="thin">
        <color rgb="FFD0D7E5"/>
      </right>
      <top style="medium">
        <color rgb="FF1F3864"/>
      </top>
      <bottom style="medium">
        <color rgb="FF1F3864"/>
      </bottom>
      <diagonal/>
    </border>
    <border>
      <left style="thin">
        <color rgb="FFD0D7E5"/>
      </left>
      <right style="medium">
        <color rgb="FF1F3864"/>
      </right>
      <top style="medium">
        <color rgb="FF1F3864"/>
      </top>
      <bottom style="medium">
        <color rgb="FF1F3864"/>
      </bottom>
      <diagonal/>
    </border>
    <border>
      <left style="medium">
        <color rgb="FF1F3864"/>
      </left>
      <right style="thin">
        <color rgb="FFD0D7E5"/>
      </right>
      <top style="thin">
        <color rgb="FFD0D7E5"/>
      </top>
      <bottom style="medium">
        <color rgb="FF1F3864"/>
      </bottom>
      <diagonal/>
    </border>
    <border>
      <left style="thin">
        <color rgb="FFD0D7E5"/>
      </left>
      <right style="thin">
        <color rgb="FFD0D7E5"/>
      </right>
      <top style="thin">
        <color rgb="FFD0D7E5"/>
      </top>
      <bottom style="medium">
        <color rgb="FF1F3864"/>
      </bottom>
      <diagonal/>
    </border>
    <border>
      <left style="thin">
        <color rgb="FFD0D7E5"/>
      </left>
      <right style="medium">
        <color rgb="FF1F3864"/>
      </right>
      <top style="thin">
        <color rgb="FFD0D7E5"/>
      </top>
      <bottom style="medium">
        <color rgb="FF1F3864"/>
      </bottom>
      <diagonal/>
    </border>
    <border>
      <left style="thin">
        <color rgb="FFD0D7E5"/>
      </left>
      <right/>
      <top style="medium">
        <color rgb="FF1F3864"/>
      </top>
      <bottom style="medium">
        <color rgb="FF1F3864"/>
      </bottom>
      <diagonal/>
    </border>
    <border>
      <left style="thin">
        <color rgb="FFD0D7E5"/>
      </left>
      <right/>
      <top style="thin">
        <color rgb="FFD0D7E5"/>
      </top>
      <bottom style="thin">
        <color rgb="FFD0D7E5"/>
      </bottom>
      <diagonal/>
    </border>
    <border>
      <left style="thin">
        <color rgb="FFD0D7E5"/>
      </left>
      <right/>
      <top style="thin">
        <color rgb="FFD0D7E5"/>
      </top>
      <bottom style="medium">
        <color rgb="FF1F3864"/>
      </bottom>
      <diagonal/>
    </border>
  </borders>
  <cellStyleXfs count="3">
    <xf numFmtId="0" fontId="0" fillId="0" borderId="0"/>
    <xf numFmtId="0" fontId="1" fillId="0" borderId="0"/>
    <xf numFmtId="9" fontId="2" fillId="0" borderId="0"/>
  </cellStyleXfs>
  <cellXfs count="39">
    <xf numFmtId="0" fontId="0" fillId="0" borderId="0" xfId="0"/>
    <xf numFmtId="0" fontId="0" fillId="0" borderId="0" xfId="0" applyAlignment="1">
      <alignment horizontal="center"/>
    </xf>
    <xf numFmtId="0" fontId="0" fillId="0" borderId="0" xfId="0" applyAlignment="1">
      <alignment horizontal="center" vertical="center"/>
    </xf>
    <xf numFmtId="164" fontId="3" fillId="2" borderId="1" xfId="0" applyNumberFormat="1" applyFont="1" applyFill="1" applyBorder="1" applyAlignment="1">
      <alignment horizontal="center" vertical="center"/>
    </xf>
    <xf numFmtId="164" fontId="3" fillId="3" borderId="1" xfId="0" applyNumberFormat="1" applyFont="1" applyFill="1" applyBorder="1" applyAlignment="1">
      <alignment horizontal="center" vertical="center"/>
    </xf>
    <xf numFmtId="0" fontId="4" fillId="4" borderId="6" xfId="0" applyFont="1" applyFill="1" applyBorder="1" applyAlignment="1">
      <alignment horizontal="center" vertical="center" wrapText="1"/>
    </xf>
    <xf numFmtId="0" fontId="4" fillId="4" borderId="7" xfId="0" applyFont="1" applyFill="1" applyBorder="1" applyAlignment="1">
      <alignment horizontal="center" vertical="center" wrapText="1"/>
    </xf>
    <xf numFmtId="0" fontId="6" fillId="3" borderId="2" xfId="0" applyFont="1" applyFill="1" applyBorder="1" applyAlignment="1">
      <alignment horizontal="center" vertical="center"/>
    </xf>
    <xf numFmtId="0" fontId="6" fillId="2" borderId="2" xfId="0" applyFont="1" applyFill="1" applyBorder="1" applyAlignment="1">
      <alignment horizontal="center" vertical="center"/>
    </xf>
    <xf numFmtId="0" fontId="5" fillId="3" borderId="1" xfId="0" applyFont="1" applyFill="1" applyBorder="1" applyAlignment="1">
      <alignment horizontal="left" vertical="center" wrapText="1"/>
    </xf>
    <xf numFmtId="0" fontId="5" fillId="2" borderId="1" xfId="0" applyFont="1" applyFill="1" applyBorder="1" applyAlignment="1">
      <alignment horizontal="left" vertical="center" wrapText="1"/>
    </xf>
    <xf numFmtId="165" fontId="3" fillId="3" borderId="1"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9" fontId="3" fillId="2" borderId="1" xfId="0" applyNumberFormat="1" applyFont="1" applyFill="1" applyBorder="1" applyAlignment="1">
      <alignment horizontal="center" vertical="center"/>
    </xf>
    <xf numFmtId="9" fontId="3" fillId="3" borderId="1" xfId="0" applyNumberFormat="1" applyFont="1" applyFill="1" applyBorder="1" applyAlignment="1">
      <alignment horizontal="center" vertical="center"/>
    </xf>
    <xf numFmtId="0" fontId="6" fillId="2" borderId="9" xfId="0" applyFont="1" applyFill="1" applyBorder="1" applyAlignment="1">
      <alignment horizontal="center" vertical="center"/>
    </xf>
    <xf numFmtId="165" fontId="3" fillId="2" borderId="10" xfId="0" applyNumberFormat="1" applyFont="1" applyFill="1" applyBorder="1" applyAlignment="1">
      <alignment horizontal="center" vertical="center"/>
    </xf>
    <xf numFmtId="9" fontId="3" fillId="2" borderId="10" xfId="0" applyNumberFormat="1" applyFont="1" applyFill="1" applyBorder="1" applyAlignment="1">
      <alignment horizontal="center" vertical="center"/>
    </xf>
    <xf numFmtId="0" fontId="5" fillId="2" borderId="10" xfId="0" applyFont="1" applyFill="1" applyBorder="1" applyAlignment="1">
      <alignment horizontal="left" vertical="center" wrapText="1"/>
    </xf>
    <xf numFmtId="9" fontId="3" fillId="3" borderId="1" xfId="2" applyFont="1" applyFill="1" applyBorder="1" applyAlignment="1">
      <alignment horizontal="center" vertical="center"/>
    </xf>
    <xf numFmtId="9" fontId="3" fillId="2" borderId="1" xfId="2" applyFont="1" applyFill="1" applyBorder="1" applyAlignment="1">
      <alignment horizontal="center" vertical="center"/>
    </xf>
    <xf numFmtId="164" fontId="3" fillId="2" borderId="10" xfId="0" applyNumberFormat="1" applyFont="1" applyFill="1" applyBorder="1" applyAlignment="1">
      <alignment horizontal="center" vertical="center"/>
    </xf>
    <xf numFmtId="0" fontId="3" fillId="3"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xf>
    <xf numFmtId="0" fontId="4" fillId="4" borderId="12" xfId="0" applyFont="1" applyFill="1" applyBorder="1" applyAlignment="1">
      <alignment horizontal="center" vertical="center" wrapText="1"/>
    </xf>
    <xf numFmtId="164" fontId="3" fillId="3" borderId="13" xfId="0" applyNumberFormat="1" applyFont="1" applyFill="1" applyBorder="1" applyAlignment="1">
      <alignment horizontal="center" vertical="center"/>
    </xf>
    <xf numFmtId="164" fontId="3" fillId="2" borderId="13" xfId="0" applyNumberFormat="1" applyFont="1" applyFill="1" applyBorder="1" applyAlignment="1">
      <alignment horizontal="center" vertical="center"/>
    </xf>
    <xf numFmtId="164" fontId="3" fillId="2" borderId="14" xfId="0" applyNumberFormat="1"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3" xfId="0" applyFont="1" applyFill="1" applyBorder="1" applyAlignment="1">
      <alignment horizontal="left" vertical="center"/>
    </xf>
    <xf numFmtId="0" fontId="3" fillId="3" borderId="3" xfId="0" applyFont="1" applyFill="1" applyBorder="1" applyAlignment="1">
      <alignment horizontal="left" vertical="center"/>
    </xf>
    <xf numFmtId="0" fontId="3" fillId="2" borderId="11" xfId="0" applyFont="1" applyFill="1" applyBorder="1" applyAlignment="1">
      <alignment horizontal="left" vertical="center"/>
    </xf>
    <xf numFmtId="0" fontId="3" fillId="2" borderId="4" xfId="0" applyFont="1" applyFill="1" applyBorder="1" applyAlignment="1">
      <alignment horizontal="center" vertical="center"/>
    </xf>
    <xf numFmtId="0" fontId="3" fillId="2" borderId="5" xfId="0" applyFont="1" applyFill="1" applyBorder="1" applyAlignment="1">
      <alignment horizontal="left" vertical="center"/>
    </xf>
    <xf numFmtId="0" fontId="7" fillId="4" borderId="6" xfId="0" applyFont="1" applyFill="1" applyBorder="1" applyAlignment="1">
      <alignment horizontal="center" vertical="center" wrapText="1"/>
    </xf>
    <xf numFmtId="0" fontId="7" fillId="4" borderId="8" xfId="0" applyFont="1" applyFill="1" applyBorder="1" applyAlignment="1">
      <alignment horizontal="center" vertical="center" wrapText="1"/>
    </xf>
  </cellXfs>
  <cellStyles count="3">
    <cellStyle name="Обычный" xfId="0" builtinId="0"/>
    <cellStyle name="Обычный 5" xfId="1" xr:uid="{00000000-0005-0000-0000-000001000000}"/>
    <cellStyle name="Процентный"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2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E7AB057-71C9-4F8C-92EA-B52C63DBB80C}">
  <we:reference id="wa200009404" version="1.0.0.8" store="en-US" storeType="OMEX"/>
  <we:alternateReferences>
    <we:reference id="WA200009404" version="1.0.0.8" store="" storeType="OMEX"/>
  </we:alternateReferences>
  <we:properties>
    <we:property name="claude.fileId" value="&quot;7c790c4f-b811-47dc-81b9-1a6a4a59a53c&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P94"/>
  <sheetViews>
    <sheetView tabSelected="1" zoomScale="70" zoomScaleNormal="70" workbookViewId="0">
      <pane ySplit="3" topLeftCell="A4" activePane="bottomLeft" state="frozen"/>
      <selection activeCell="B1" sqref="B1"/>
      <selection pane="bottomLeft" activeCell="P69" sqref="P69"/>
    </sheetView>
  </sheetViews>
  <sheetFormatPr defaultColWidth="8.90625" defaultRowHeight="14.5" x14ac:dyDescent="0.35"/>
  <cols>
    <col min="1" max="1" width="7.26953125" style="1" customWidth="1"/>
    <col min="2" max="2" width="23.6328125" style="1" customWidth="1"/>
    <col min="3" max="3" width="12.7265625" style="1" customWidth="1"/>
    <col min="4" max="4" width="40.7265625" style="1" bestFit="1" customWidth="1"/>
    <col min="5" max="6" width="21.81640625" style="1" customWidth="1"/>
    <col min="7" max="7" width="61.81640625" style="1" customWidth="1"/>
    <col min="8" max="11" width="21.81640625" style="1" customWidth="1"/>
    <col min="12" max="12" width="14.54296875" style="1" customWidth="1"/>
    <col min="13" max="14" width="16.36328125" style="2" customWidth="1"/>
    <col min="15" max="15" width="21.81640625" customWidth="1"/>
    <col min="16" max="16" width="47.26953125" customWidth="1"/>
  </cols>
  <sheetData>
    <row r="2" spans="1:16" ht="15" customHeight="1" thickBot="1" x14ac:dyDescent="0.4"/>
    <row r="3" spans="1:16" ht="40" customHeight="1" thickBot="1" x14ac:dyDescent="0.4">
      <c r="A3" s="5" t="s">
        <v>0</v>
      </c>
      <c r="B3" s="6" t="s">
        <v>1</v>
      </c>
      <c r="C3" s="6" t="s">
        <v>2</v>
      </c>
      <c r="D3" s="6" t="s">
        <v>3</v>
      </c>
      <c r="E3" s="6" t="s">
        <v>4</v>
      </c>
      <c r="F3" s="6" t="s">
        <v>5</v>
      </c>
      <c r="G3" s="6" t="s">
        <v>6</v>
      </c>
      <c r="H3" s="6" t="s">
        <v>7</v>
      </c>
      <c r="I3" s="6" t="s">
        <v>8</v>
      </c>
      <c r="J3" s="6" t="s">
        <v>7</v>
      </c>
      <c r="K3" s="6" t="s">
        <v>8</v>
      </c>
      <c r="L3" s="6" t="s">
        <v>9</v>
      </c>
      <c r="M3" s="6" t="s">
        <v>10</v>
      </c>
      <c r="N3" s="25" t="s">
        <v>11</v>
      </c>
      <c r="O3" s="37" t="s">
        <v>12</v>
      </c>
      <c r="P3" s="38" t="s">
        <v>13</v>
      </c>
    </row>
    <row r="4" spans="1:16" ht="104" customHeight="1" x14ac:dyDescent="0.35">
      <c r="A4" s="7">
        <v>1</v>
      </c>
      <c r="B4" s="22" t="s">
        <v>14</v>
      </c>
      <c r="C4" s="22">
        <v>3245</v>
      </c>
      <c r="D4" s="22" t="s">
        <v>15</v>
      </c>
      <c r="E4" s="11">
        <v>45658.083333333343</v>
      </c>
      <c r="F4" s="11">
        <v>45789.083333333343</v>
      </c>
      <c r="G4" s="9" t="s">
        <v>16</v>
      </c>
      <c r="H4" s="11">
        <v>45761.697222222218</v>
      </c>
      <c r="I4" s="11">
        <v>45789.083333333343</v>
      </c>
      <c r="J4" s="11"/>
      <c r="K4" s="11"/>
      <c r="L4" s="19">
        <f t="shared" ref="L4:L35" si="0">M4/N4</f>
        <v>0.20905428329103437</v>
      </c>
      <c r="M4" s="4">
        <f t="shared" ref="M4:M35" si="1">I4-H4</f>
        <v>27.386111111125501</v>
      </c>
      <c r="N4" s="26">
        <f t="shared" ref="N4:N35" si="2">F4-E4</f>
        <v>131</v>
      </c>
      <c r="O4" s="35" t="s">
        <v>17</v>
      </c>
      <c r="P4" s="36" t="s">
        <v>18</v>
      </c>
    </row>
    <row r="5" spans="1:16" ht="156" customHeight="1" x14ac:dyDescent="0.35">
      <c r="A5" s="8">
        <v>2</v>
      </c>
      <c r="B5" s="23" t="s">
        <v>19</v>
      </c>
      <c r="C5" s="23">
        <v>4039</v>
      </c>
      <c r="D5" s="23" t="s">
        <v>15</v>
      </c>
      <c r="E5" s="12">
        <v>45748.083333333343</v>
      </c>
      <c r="F5" s="12">
        <v>45931.083333333343</v>
      </c>
      <c r="G5" s="10" t="s">
        <v>20</v>
      </c>
      <c r="H5" s="12">
        <v>45806.375</v>
      </c>
      <c r="I5" s="12">
        <v>45815.631944444453</v>
      </c>
      <c r="J5" s="12"/>
      <c r="K5" s="12"/>
      <c r="L5" s="20">
        <f t="shared" si="0"/>
        <v>5.0584395871325294E-2</v>
      </c>
      <c r="M5" s="3">
        <f t="shared" si="1"/>
        <v>9.2569444444525288</v>
      </c>
      <c r="N5" s="27">
        <f t="shared" si="2"/>
        <v>183</v>
      </c>
      <c r="O5" s="30" t="s">
        <v>17</v>
      </c>
      <c r="P5" s="33" t="s">
        <v>21</v>
      </c>
    </row>
    <row r="6" spans="1:16" ht="39" customHeight="1" x14ac:dyDescent="0.35">
      <c r="A6" s="7">
        <v>3</v>
      </c>
      <c r="B6" s="22" t="s">
        <v>19</v>
      </c>
      <c r="C6" s="22">
        <v>408</v>
      </c>
      <c r="D6" s="22" t="s">
        <v>15</v>
      </c>
      <c r="E6" s="11">
        <v>45748.083333333343</v>
      </c>
      <c r="F6" s="11">
        <v>45900.083333333343</v>
      </c>
      <c r="G6" s="9" t="s">
        <v>22</v>
      </c>
      <c r="H6" s="11">
        <v>45810.111111111109</v>
      </c>
      <c r="I6" s="11">
        <v>45834.472222222219</v>
      </c>
      <c r="J6" s="11">
        <v>45860.791666666657</v>
      </c>
      <c r="K6" s="11">
        <v>45892.613888888889</v>
      </c>
      <c r="L6" s="19">
        <f t="shared" si="0"/>
        <v>0.16027046783624668</v>
      </c>
      <c r="M6" s="4">
        <f t="shared" si="1"/>
        <v>24.361111111109494</v>
      </c>
      <c r="N6" s="26">
        <f t="shared" si="2"/>
        <v>152</v>
      </c>
      <c r="O6" s="29" t="s">
        <v>17</v>
      </c>
      <c r="P6" s="32" t="s">
        <v>23</v>
      </c>
    </row>
    <row r="7" spans="1:16" ht="78" customHeight="1" x14ac:dyDescent="0.35">
      <c r="A7" s="8">
        <v>4</v>
      </c>
      <c r="B7" s="23" t="s">
        <v>14</v>
      </c>
      <c r="C7" s="23" t="s">
        <v>24</v>
      </c>
      <c r="D7" s="23" t="s">
        <v>15</v>
      </c>
      <c r="E7" s="12">
        <v>45870.083333333343</v>
      </c>
      <c r="F7" s="12">
        <v>45968.083333333343</v>
      </c>
      <c r="G7" s="10" t="s">
        <v>25</v>
      </c>
      <c r="H7" s="12">
        <v>45934.083333333343</v>
      </c>
      <c r="I7" s="12">
        <v>45968.083333333343</v>
      </c>
      <c r="J7" s="12"/>
      <c r="K7" s="12"/>
      <c r="L7" s="20">
        <f t="shared" si="0"/>
        <v>0.34693877551020408</v>
      </c>
      <c r="M7" s="3">
        <f t="shared" si="1"/>
        <v>34</v>
      </c>
      <c r="N7" s="27">
        <f t="shared" si="2"/>
        <v>98</v>
      </c>
      <c r="O7" s="30" t="s">
        <v>17</v>
      </c>
      <c r="P7" s="33" t="s">
        <v>26</v>
      </c>
    </row>
    <row r="8" spans="1:16" ht="52" customHeight="1" x14ac:dyDescent="0.35">
      <c r="A8" s="8">
        <v>5</v>
      </c>
      <c r="B8" s="23" t="s">
        <v>14</v>
      </c>
      <c r="C8" s="23" t="s">
        <v>27</v>
      </c>
      <c r="D8" s="23" t="s">
        <v>28</v>
      </c>
      <c r="E8" s="12">
        <v>45828.083333333343</v>
      </c>
      <c r="F8" s="12">
        <v>45830.083333333343</v>
      </c>
      <c r="G8" s="10"/>
      <c r="H8" s="12">
        <v>45829.355555555558</v>
      </c>
      <c r="I8" s="12">
        <v>45829.987500000003</v>
      </c>
      <c r="J8" s="12"/>
      <c r="K8" s="12"/>
      <c r="L8" s="20">
        <f t="shared" si="0"/>
        <v>0.31597222222262644</v>
      </c>
      <c r="M8" s="3">
        <f t="shared" si="1"/>
        <v>0.63194444444525288</v>
      </c>
      <c r="N8" s="27">
        <f t="shared" si="2"/>
        <v>2</v>
      </c>
      <c r="O8" s="29" t="s">
        <v>17</v>
      </c>
      <c r="P8" s="32" t="s">
        <v>29</v>
      </c>
    </row>
    <row r="9" spans="1:16" ht="78" customHeight="1" x14ac:dyDescent="0.35">
      <c r="A9" s="7">
        <v>6</v>
      </c>
      <c r="B9" s="22" t="s">
        <v>30</v>
      </c>
      <c r="C9" s="22" t="s">
        <v>31</v>
      </c>
      <c r="D9" s="22" t="s">
        <v>28</v>
      </c>
      <c r="E9" s="11">
        <v>45775.083333333343</v>
      </c>
      <c r="F9" s="11">
        <v>45784.083333333343</v>
      </c>
      <c r="G9" s="9"/>
      <c r="H9" s="11">
        <v>45780.479166666657</v>
      </c>
      <c r="I9" s="11">
        <v>45784.083333333343</v>
      </c>
      <c r="J9" s="11"/>
      <c r="K9" s="11"/>
      <c r="L9" s="19">
        <f t="shared" si="0"/>
        <v>0.4004629629651188</v>
      </c>
      <c r="M9" s="4">
        <f t="shared" si="1"/>
        <v>3.6041666666860692</v>
      </c>
      <c r="N9" s="26">
        <f t="shared" si="2"/>
        <v>9</v>
      </c>
      <c r="O9" s="30" t="s">
        <v>17</v>
      </c>
      <c r="P9" s="33" t="s">
        <v>32</v>
      </c>
    </row>
    <row r="10" spans="1:16" ht="117" customHeight="1" x14ac:dyDescent="0.35">
      <c r="A10" s="7">
        <v>7</v>
      </c>
      <c r="B10" s="22" t="s">
        <v>33</v>
      </c>
      <c r="C10" s="22">
        <v>495</v>
      </c>
      <c r="D10" s="22" t="s">
        <v>34</v>
      </c>
      <c r="E10" s="11">
        <v>45922.083333333343</v>
      </c>
      <c r="F10" s="11">
        <v>45947.083333333343</v>
      </c>
      <c r="G10" s="9"/>
      <c r="H10" s="11">
        <v>45938</v>
      </c>
      <c r="I10" s="11">
        <v>45947.083333333343</v>
      </c>
      <c r="J10" s="11"/>
      <c r="K10" s="11"/>
      <c r="L10" s="19">
        <f t="shared" si="0"/>
        <v>0.36333333333372136</v>
      </c>
      <c r="M10" s="4">
        <f t="shared" si="1"/>
        <v>9.0833333333430346</v>
      </c>
      <c r="N10" s="26">
        <f t="shared" si="2"/>
        <v>25</v>
      </c>
      <c r="O10" s="29" t="s">
        <v>17</v>
      </c>
      <c r="P10" s="32" t="s">
        <v>35</v>
      </c>
    </row>
    <row r="11" spans="1:16" x14ac:dyDescent="0.35">
      <c r="A11" s="8">
        <v>8</v>
      </c>
      <c r="B11" s="23" t="s">
        <v>33</v>
      </c>
      <c r="C11" s="23">
        <v>902</v>
      </c>
      <c r="D11" s="23" t="s">
        <v>34</v>
      </c>
      <c r="E11" s="12">
        <v>45945.083333333343</v>
      </c>
      <c r="F11" s="12">
        <v>45976.083333333343</v>
      </c>
      <c r="G11" s="10"/>
      <c r="H11" s="12">
        <v>45952</v>
      </c>
      <c r="I11" s="12">
        <v>45976.083333333343</v>
      </c>
      <c r="J11" s="12"/>
      <c r="K11" s="12"/>
      <c r="L11" s="20">
        <f t="shared" si="0"/>
        <v>0.77688172043042047</v>
      </c>
      <c r="M11" s="3">
        <f t="shared" si="1"/>
        <v>24.083333333343035</v>
      </c>
      <c r="N11" s="27">
        <f t="shared" si="2"/>
        <v>31</v>
      </c>
      <c r="O11" s="30" t="s">
        <v>17</v>
      </c>
      <c r="P11" s="33" t="s">
        <v>36</v>
      </c>
    </row>
    <row r="12" spans="1:16" x14ac:dyDescent="0.35">
      <c r="A12" s="7">
        <v>9</v>
      </c>
      <c r="B12" s="22" t="s">
        <v>14</v>
      </c>
      <c r="C12" s="22" t="s">
        <v>37</v>
      </c>
      <c r="D12" s="22" t="s">
        <v>15</v>
      </c>
      <c r="E12" s="11">
        <v>45988.083333333343</v>
      </c>
      <c r="F12" s="11">
        <v>46015.083333333343</v>
      </c>
      <c r="G12" s="9"/>
      <c r="H12" s="11">
        <v>46002.166666666657</v>
      </c>
      <c r="I12" s="11">
        <v>46015.083333333343</v>
      </c>
      <c r="J12" s="11"/>
      <c r="K12" s="11"/>
      <c r="L12" s="19">
        <f t="shared" si="0"/>
        <v>0.47839506172911367</v>
      </c>
      <c r="M12" s="4">
        <f t="shared" si="1"/>
        <v>12.916666666686069</v>
      </c>
      <c r="N12" s="26">
        <f t="shared" si="2"/>
        <v>27</v>
      </c>
      <c r="O12" s="29" t="s">
        <v>17</v>
      </c>
      <c r="P12" s="32" t="s">
        <v>38</v>
      </c>
    </row>
    <row r="13" spans="1:16" x14ac:dyDescent="0.35">
      <c r="A13" s="7">
        <v>10</v>
      </c>
      <c r="B13" s="22" t="s">
        <v>14</v>
      </c>
      <c r="C13" s="22">
        <v>3245</v>
      </c>
      <c r="D13" s="22" t="s">
        <v>34</v>
      </c>
      <c r="E13" s="11">
        <v>46067</v>
      </c>
      <c r="F13" s="11">
        <v>46095</v>
      </c>
      <c r="G13" s="9"/>
      <c r="H13" s="11">
        <v>46084.966469907413</v>
      </c>
      <c r="I13" s="11">
        <v>46095</v>
      </c>
      <c r="J13" s="11"/>
      <c r="K13" s="11"/>
      <c r="L13" s="19">
        <f t="shared" si="0"/>
        <v>0.35834036044954182</v>
      </c>
      <c r="M13" s="4">
        <f t="shared" si="1"/>
        <v>10.033530092587171</v>
      </c>
      <c r="N13" s="26">
        <f t="shared" si="2"/>
        <v>28</v>
      </c>
      <c r="O13" s="30" t="s">
        <v>17</v>
      </c>
      <c r="P13" s="33" t="s">
        <v>39</v>
      </c>
    </row>
    <row r="14" spans="1:16" x14ac:dyDescent="0.35">
      <c r="A14" s="8">
        <v>11</v>
      </c>
      <c r="B14" s="23" t="s">
        <v>33</v>
      </c>
      <c r="C14" s="23">
        <v>602</v>
      </c>
      <c r="D14" s="23" t="s">
        <v>34</v>
      </c>
      <c r="E14" s="12">
        <v>46004</v>
      </c>
      <c r="F14" s="12">
        <v>46094</v>
      </c>
      <c r="G14" s="10"/>
      <c r="H14" s="12">
        <v>46047.040590277778</v>
      </c>
      <c r="I14" s="12">
        <v>46068</v>
      </c>
      <c r="J14" s="12">
        <v>46073.573437500003</v>
      </c>
      <c r="K14" s="12">
        <v>46094</v>
      </c>
      <c r="L14" s="20">
        <f t="shared" si="0"/>
        <v>0.23288233024690674</v>
      </c>
      <c r="M14" s="3">
        <f t="shared" si="1"/>
        <v>20.959409722221608</v>
      </c>
      <c r="N14" s="27">
        <f t="shared" si="2"/>
        <v>90</v>
      </c>
      <c r="O14" s="29" t="s">
        <v>17</v>
      </c>
      <c r="P14" s="32" t="s">
        <v>40</v>
      </c>
    </row>
    <row r="15" spans="1:16" x14ac:dyDescent="0.35">
      <c r="A15" s="7">
        <v>12</v>
      </c>
      <c r="B15" s="22" t="s">
        <v>14</v>
      </c>
      <c r="C15" s="22">
        <v>122</v>
      </c>
      <c r="D15" s="22" t="s">
        <v>34</v>
      </c>
      <c r="E15" s="11">
        <v>46073</v>
      </c>
      <c r="F15" s="11">
        <v>46112</v>
      </c>
      <c r="G15" s="9"/>
      <c r="H15" s="11">
        <v>46094.7497337963</v>
      </c>
      <c r="I15" s="11">
        <v>46112</v>
      </c>
      <c r="J15" s="11"/>
      <c r="K15" s="11"/>
      <c r="L15" s="14">
        <f t="shared" si="0"/>
        <v>0.44231451804360122</v>
      </c>
      <c r="M15" s="4">
        <f t="shared" si="1"/>
        <v>17.250266203700448</v>
      </c>
      <c r="N15" s="26">
        <f t="shared" si="2"/>
        <v>39</v>
      </c>
      <c r="O15" s="30" t="s">
        <v>17</v>
      </c>
      <c r="P15" s="33" t="s">
        <v>41</v>
      </c>
    </row>
    <row r="16" spans="1:16" ht="26" x14ac:dyDescent="0.35">
      <c r="A16" s="7">
        <v>13</v>
      </c>
      <c r="B16" s="22" t="s">
        <v>42</v>
      </c>
      <c r="C16" s="22" t="s">
        <v>43</v>
      </c>
      <c r="D16" s="22" t="s">
        <v>44</v>
      </c>
      <c r="E16" s="11">
        <v>46120</v>
      </c>
      <c r="F16" s="11">
        <v>46131</v>
      </c>
      <c r="G16" s="9" t="s">
        <v>45</v>
      </c>
      <c r="H16" s="11"/>
      <c r="I16" s="11"/>
      <c r="J16" s="11"/>
      <c r="K16" s="11"/>
      <c r="L16" s="14">
        <f t="shared" si="0"/>
        <v>0</v>
      </c>
      <c r="M16" s="4">
        <f t="shared" si="1"/>
        <v>0</v>
      </c>
      <c r="N16" s="26">
        <f t="shared" si="2"/>
        <v>11</v>
      </c>
      <c r="O16" s="29" t="s">
        <v>17</v>
      </c>
      <c r="P16" s="32" t="s">
        <v>46</v>
      </c>
    </row>
    <row r="17" spans="1:16" ht="26" x14ac:dyDescent="0.35">
      <c r="A17" s="8">
        <v>14</v>
      </c>
      <c r="B17" s="23" t="s">
        <v>33</v>
      </c>
      <c r="C17" s="23" t="s">
        <v>47</v>
      </c>
      <c r="D17" s="23" t="s">
        <v>44</v>
      </c>
      <c r="E17" s="12">
        <v>46098</v>
      </c>
      <c r="F17" s="12">
        <v>46130</v>
      </c>
      <c r="G17" s="10" t="s">
        <v>48</v>
      </c>
      <c r="H17" s="12"/>
      <c r="I17" s="12"/>
      <c r="J17" s="12"/>
      <c r="K17" s="12"/>
      <c r="L17" s="13">
        <f t="shared" si="0"/>
        <v>0</v>
      </c>
      <c r="M17" s="3">
        <f t="shared" si="1"/>
        <v>0</v>
      </c>
      <c r="N17" s="27">
        <f t="shared" si="2"/>
        <v>32</v>
      </c>
      <c r="O17" s="30" t="s">
        <v>17</v>
      </c>
      <c r="P17" s="33" t="s">
        <v>49</v>
      </c>
    </row>
    <row r="18" spans="1:16" ht="26" x14ac:dyDescent="0.35">
      <c r="A18" s="7">
        <v>15</v>
      </c>
      <c r="B18" s="22" t="s">
        <v>33</v>
      </c>
      <c r="C18" s="22">
        <v>1995</v>
      </c>
      <c r="D18" s="22" t="s">
        <v>44</v>
      </c>
      <c r="E18" s="11">
        <v>46095</v>
      </c>
      <c r="F18" s="11">
        <v>46143</v>
      </c>
      <c r="G18" s="9" t="s">
        <v>48</v>
      </c>
      <c r="H18" s="11"/>
      <c r="I18" s="11"/>
      <c r="J18" s="11"/>
      <c r="K18" s="11"/>
      <c r="L18" s="14">
        <f t="shared" si="0"/>
        <v>0</v>
      </c>
      <c r="M18" s="4">
        <f t="shared" si="1"/>
        <v>0</v>
      </c>
      <c r="N18" s="26">
        <f t="shared" si="2"/>
        <v>48</v>
      </c>
      <c r="O18" s="29" t="s">
        <v>17</v>
      </c>
      <c r="P18" s="32" t="s">
        <v>50</v>
      </c>
    </row>
    <row r="19" spans="1:16" x14ac:dyDescent="0.35">
      <c r="A19" s="8">
        <v>16</v>
      </c>
      <c r="B19" s="23" t="s">
        <v>33</v>
      </c>
      <c r="C19" s="23">
        <v>1449</v>
      </c>
      <c r="D19" s="23" t="s">
        <v>34</v>
      </c>
      <c r="E19" s="12">
        <v>46027</v>
      </c>
      <c r="F19" s="12">
        <v>46094</v>
      </c>
      <c r="G19" s="10" t="s">
        <v>51</v>
      </c>
      <c r="H19" s="12">
        <v>46067.503136574072</v>
      </c>
      <c r="I19" s="12">
        <v>46098</v>
      </c>
      <c r="J19" s="12"/>
      <c r="K19" s="12"/>
      <c r="L19" s="13">
        <f t="shared" si="0"/>
        <v>0.45517706605862068</v>
      </c>
      <c r="M19" s="3">
        <f t="shared" si="1"/>
        <v>30.496863425927586</v>
      </c>
      <c r="N19" s="27">
        <f t="shared" si="2"/>
        <v>67</v>
      </c>
      <c r="O19" s="30" t="s">
        <v>52</v>
      </c>
      <c r="P19" s="33" t="s">
        <v>53</v>
      </c>
    </row>
    <row r="20" spans="1:16" x14ac:dyDescent="0.35">
      <c r="A20" s="7">
        <v>17</v>
      </c>
      <c r="B20" s="22" t="s">
        <v>33</v>
      </c>
      <c r="C20" s="22" t="s">
        <v>54</v>
      </c>
      <c r="D20" s="22" t="s">
        <v>34</v>
      </c>
      <c r="E20" s="11">
        <v>45979</v>
      </c>
      <c r="F20" s="11">
        <v>46046</v>
      </c>
      <c r="G20" s="9" t="s">
        <v>51</v>
      </c>
      <c r="H20" s="11">
        <v>46025.688807870371</v>
      </c>
      <c r="I20" s="11">
        <v>46046</v>
      </c>
      <c r="J20" s="11"/>
      <c r="K20" s="11"/>
      <c r="L20" s="14">
        <f t="shared" si="0"/>
        <v>0.3031521213377536</v>
      </c>
      <c r="M20" s="4">
        <f t="shared" si="1"/>
        <v>20.31119212962949</v>
      </c>
      <c r="N20" s="26">
        <f t="shared" si="2"/>
        <v>67</v>
      </c>
      <c r="O20" s="29" t="s">
        <v>52</v>
      </c>
      <c r="P20" s="32" t="s">
        <v>55</v>
      </c>
    </row>
    <row r="21" spans="1:16" x14ac:dyDescent="0.35">
      <c r="A21" s="8">
        <v>18</v>
      </c>
      <c r="B21" s="23" t="s">
        <v>33</v>
      </c>
      <c r="C21" s="23">
        <v>1508</v>
      </c>
      <c r="D21" s="23" t="s">
        <v>34</v>
      </c>
      <c r="E21" s="12">
        <v>45921</v>
      </c>
      <c r="F21" s="12">
        <v>45988</v>
      </c>
      <c r="G21" s="10" t="s">
        <v>51</v>
      </c>
      <c r="H21" s="12">
        <v>45977.877766203703</v>
      </c>
      <c r="I21" s="12">
        <v>45988</v>
      </c>
      <c r="J21" s="12"/>
      <c r="K21" s="12"/>
      <c r="L21" s="13">
        <f t="shared" si="0"/>
        <v>0.15107811636264512</v>
      </c>
      <c r="M21" s="3">
        <f t="shared" si="1"/>
        <v>10.122233796297223</v>
      </c>
      <c r="N21" s="27">
        <f t="shared" si="2"/>
        <v>67</v>
      </c>
      <c r="O21" s="30" t="s">
        <v>52</v>
      </c>
      <c r="P21" s="33" t="s">
        <v>56</v>
      </c>
    </row>
    <row r="22" spans="1:16" x14ac:dyDescent="0.35">
      <c r="A22" s="7">
        <v>19</v>
      </c>
      <c r="B22" s="22" t="s">
        <v>33</v>
      </c>
      <c r="C22" s="22" t="s">
        <v>57</v>
      </c>
      <c r="D22" s="22" t="s">
        <v>34</v>
      </c>
      <c r="E22" s="11">
        <v>46030</v>
      </c>
      <c r="F22" s="11">
        <v>46097</v>
      </c>
      <c r="G22" s="9" t="s">
        <v>51</v>
      </c>
      <c r="H22" s="11">
        <v>46069.057986111111</v>
      </c>
      <c r="I22" s="11">
        <v>46098</v>
      </c>
      <c r="J22" s="11"/>
      <c r="K22" s="11"/>
      <c r="L22" s="14">
        <f t="shared" si="0"/>
        <v>0.43197035655058286</v>
      </c>
      <c r="M22" s="4">
        <f t="shared" si="1"/>
        <v>28.942013888889051</v>
      </c>
      <c r="N22" s="26">
        <f t="shared" si="2"/>
        <v>67</v>
      </c>
      <c r="O22" s="29" t="s">
        <v>52</v>
      </c>
      <c r="P22" s="32" t="s">
        <v>58</v>
      </c>
    </row>
    <row r="23" spans="1:16" x14ac:dyDescent="0.35">
      <c r="A23" s="8">
        <v>20</v>
      </c>
      <c r="B23" s="23" t="s">
        <v>33</v>
      </c>
      <c r="C23" s="23">
        <v>5021</v>
      </c>
      <c r="D23" s="23" t="s">
        <v>34</v>
      </c>
      <c r="E23" s="12">
        <v>46032</v>
      </c>
      <c r="F23" s="12">
        <v>46099</v>
      </c>
      <c r="G23" s="10" t="s">
        <v>51</v>
      </c>
      <c r="H23" s="12">
        <v>46092.776574074072</v>
      </c>
      <c r="I23" s="12">
        <v>46099</v>
      </c>
      <c r="J23" s="12"/>
      <c r="K23" s="12"/>
      <c r="L23" s="13">
        <f t="shared" si="0"/>
        <v>9.2886954118322179E-2</v>
      </c>
      <c r="M23" s="3">
        <f t="shared" si="1"/>
        <v>6.2234259259275859</v>
      </c>
      <c r="N23" s="27">
        <f t="shared" si="2"/>
        <v>67</v>
      </c>
      <c r="O23" s="30" t="s">
        <v>52</v>
      </c>
      <c r="P23" s="33" t="s">
        <v>59</v>
      </c>
    </row>
    <row r="24" spans="1:16" x14ac:dyDescent="0.35">
      <c r="A24" s="7">
        <v>21</v>
      </c>
      <c r="B24" s="22" t="s">
        <v>19</v>
      </c>
      <c r="C24" s="22">
        <v>3138</v>
      </c>
      <c r="D24" s="22" t="s">
        <v>34</v>
      </c>
      <c r="E24" s="11">
        <v>46058</v>
      </c>
      <c r="F24" s="11">
        <v>46125</v>
      </c>
      <c r="G24" s="9" t="s">
        <v>51</v>
      </c>
      <c r="H24" s="11">
        <v>46107.901377314818</v>
      </c>
      <c r="I24" s="11">
        <v>46125</v>
      </c>
      <c r="J24" s="11"/>
      <c r="K24" s="11"/>
      <c r="L24" s="14">
        <f t="shared" si="0"/>
        <v>0.25520332365943149</v>
      </c>
      <c r="M24" s="4">
        <f t="shared" si="1"/>
        <v>17.098622685181908</v>
      </c>
      <c r="N24" s="26">
        <f t="shared" si="2"/>
        <v>67</v>
      </c>
      <c r="O24" s="29" t="s">
        <v>52</v>
      </c>
      <c r="P24" s="32" t="s">
        <v>60</v>
      </c>
    </row>
    <row r="25" spans="1:16" x14ac:dyDescent="0.35">
      <c r="A25" s="8">
        <v>22</v>
      </c>
      <c r="B25" s="23" t="s">
        <v>33</v>
      </c>
      <c r="C25" s="23">
        <v>1714</v>
      </c>
      <c r="D25" s="23" t="s">
        <v>34</v>
      </c>
      <c r="E25" s="12">
        <v>45921</v>
      </c>
      <c r="F25" s="12">
        <v>45988</v>
      </c>
      <c r="G25" s="10" t="s">
        <v>51</v>
      </c>
      <c r="H25" s="12">
        <v>45966.202361111107</v>
      </c>
      <c r="I25" s="12">
        <v>45988</v>
      </c>
      <c r="J25" s="12"/>
      <c r="K25" s="12"/>
      <c r="L25" s="13">
        <f t="shared" si="0"/>
        <v>0.32533789386407214</v>
      </c>
      <c r="M25" s="3">
        <f t="shared" si="1"/>
        <v>21.797638888892834</v>
      </c>
      <c r="N25" s="27">
        <f t="shared" si="2"/>
        <v>67</v>
      </c>
      <c r="O25" s="30" t="s">
        <v>52</v>
      </c>
      <c r="P25" s="33" t="s">
        <v>61</v>
      </c>
    </row>
    <row r="26" spans="1:16" x14ac:dyDescent="0.35">
      <c r="A26" s="7">
        <v>23</v>
      </c>
      <c r="B26" s="22" t="s">
        <v>33</v>
      </c>
      <c r="C26" s="22">
        <v>691</v>
      </c>
      <c r="D26" s="22" t="s">
        <v>34</v>
      </c>
      <c r="E26" s="11">
        <v>45981</v>
      </c>
      <c r="F26" s="11">
        <v>46048</v>
      </c>
      <c r="G26" s="9" t="s">
        <v>51</v>
      </c>
      <c r="H26" s="11">
        <v>46005.241238425922</v>
      </c>
      <c r="I26" s="11">
        <v>46048</v>
      </c>
      <c r="J26" s="11"/>
      <c r="K26" s="11"/>
      <c r="L26" s="14">
        <f t="shared" si="0"/>
        <v>0.63819047125489037</v>
      </c>
      <c r="M26" s="4">
        <f t="shared" si="1"/>
        <v>42.758761574077653</v>
      </c>
      <c r="N26" s="26">
        <f t="shared" si="2"/>
        <v>67</v>
      </c>
      <c r="O26" s="29" t="s">
        <v>52</v>
      </c>
      <c r="P26" s="32" t="s">
        <v>62</v>
      </c>
    </row>
    <row r="27" spans="1:16" x14ac:dyDescent="0.35">
      <c r="A27" s="8">
        <v>24</v>
      </c>
      <c r="B27" s="23" t="s">
        <v>33</v>
      </c>
      <c r="C27" s="23">
        <v>1062</v>
      </c>
      <c r="D27" s="23" t="s">
        <v>34</v>
      </c>
      <c r="E27" s="12">
        <v>45980</v>
      </c>
      <c r="F27" s="12">
        <v>46047</v>
      </c>
      <c r="G27" s="10" t="s">
        <v>51</v>
      </c>
      <c r="H27" s="12">
        <v>46024.571331018517</v>
      </c>
      <c r="I27" s="12">
        <v>46049</v>
      </c>
      <c r="J27" s="12"/>
      <c r="K27" s="12"/>
      <c r="L27" s="13">
        <f t="shared" si="0"/>
        <v>0.36460699972363431</v>
      </c>
      <c r="M27" s="3">
        <f t="shared" si="1"/>
        <v>24.428668981483497</v>
      </c>
      <c r="N27" s="27">
        <f t="shared" si="2"/>
        <v>67</v>
      </c>
      <c r="O27" s="30" t="s">
        <v>52</v>
      </c>
      <c r="P27" s="33" t="s">
        <v>63</v>
      </c>
    </row>
    <row r="28" spans="1:16" x14ac:dyDescent="0.35">
      <c r="A28" s="8">
        <v>25</v>
      </c>
      <c r="B28" s="23" t="s">
        <v>33</v>
      </c>
      <c r="C28" s="23">
        <v>792</v>
      </c>
      <c r="D28" s="23" t="s">
        <v>34</v>
      </c>
      <c r="E28" s="12">
        <v>45983</v>
      </c>
      <c r="F28" s="12">
        <v>46050</v>
      </c>
      <c r="G28" s="10" t="s">
        <v>51</v>
      </c>
      <c r="H28" s="12">
        <v>46024.040486111109</v>
      </c>
      <c r="I28" s="12">
        <v>46050</v>
      </c>
      <c r="J28" s="12"/>
      <c r="K28" s="12"/>
      <c r="L28" s="13">
        <f t="shared" si="0"/>
        <v>0.38745543117747455</v>
      </c>
      <c r="M28" s="3">
        <f t="shared" si="1"/>
        <v>25.959513888890797</v>
      </c>
      <c r="N28" s="27">
        <f t="shared" si="2"/>
        <v>67</v>
      </c>
      <c r="O28" s="29" t="s">
        <v>52</v>
      </c>
      <c r="P28" s="32" t="s">
        <v>64</v>
      </c>
    </row>
    <row r="29" spans="1:16" x14ac:dyDescent="0.35">
      <c r="A29" s="7">
        <v>26</v>
      </c>
      <c r="B29" s="22" t="s">
        <v>33</v>
      </c>
      <c r="C29" s="22">
        <v>610</v>
      </c>
      <c r="D29" s="22" t="s">
        <v>34</v>
      </c>
      <c r="E29" s="11">
        <v>46039</v>
      </c>
      <c r="F29" s="11">
        <v>46106</v>
      </c>
      <c r="G29" s="9" t="s">
        <v>65</v>
      </c>
      <c r="H29" s="11">
        <v>46088.569224537037</v>
      </c>
      <c r="I29" s="11">
        <v>46106</v>
      </c>
      <c r="J29" s="11"/>
      <c r="K29" s="11"/>
      <c r="L29" s="14">
        <f t="shared" si="0"/>
        <v>0.26016082780541239</v>
      </c>
      <c r="M29" s="4">
        <f t="shared" si="1"/>
        <v>17.430775462962629</v>
      </c>
      <c r="N29" s="26">
        <f t="shared" si="2"/>
        <v>67</v>
      </c>
      <c r="O29" s="30" t="s">
        <v>52</v>
      </c>
      <c r="P29" s="33" t="s">
        <v>66</v>
      </c>
    </row>
    <row r="30" spans="1:16" x14ac:dyDescent="0.35">
      <c r="A30" s="8">
        <v>27</v>
      </c>
      <c r="B30" s="23" t="s">
        <v>33</v>
      </c>
      <c r="C30" s="23">
        <v>1809</v>
      </c>
      <c r="D30" s="23" t="s">
        <v>34</v>
      </c>
      <c r="E30" s="12">
        <v>45993</v>
      </c>
      <c r="F30" s="12">
        <v>46060</v>
      </c>
      <c r="G30" s="10" t="s">
        <v>51</v>
      </c>
      <c r="H30" s="12">
        <v>46034.932199074072</v>
      </c>
      <c r="I30" s="12">
        <v>46060</v>
      </c>
      <c r="J30" s="12"/>
      <c r="K30" s="12"/>
      <c r="L30" s="13">
        <f t="shared" si="0"/>
        <v>0.3741462824765398</v>
      </c>
      <c r="M30" s="3">
        <f t="shared" si="1"/>
        <v>25.067800925928168</v>
      </c>
      <c r="N30" s="27">
        <f t="shared" si="2"/>
        <v>67</v>
      </c>
      <c r="O30" s="29" t="s">
        <v>52</v>
      </c>
      <c r="P30" s="32" t="s">
        <v>67</v>
      </c>
    </row>
    <row r="31" spans="1:16" x14ac:dyDescent="0.35">
      <c r="A31" s="7">
        <v>28</v>
      </c>
      <c r="B31" s="22" t="s">
        <v>33</v>
      </c>
      <c r="C31" s="22">
        <v>816</v>
      </c>
      <c r="D31" s="22" t="s">
        <v>34</v>
      </c>
      <c r="E31" s="11">
        <v>45996</v>
      </c>
      <c r="F31" s="11">
        <v>46063</v>
      </c>
      <c r="G31" s="9" t="s">
        <v>51</v>
      </c>
      <c r="H31" s="11">
        <v>46032.33898148148</v>
      </c>
      <c r="I31" s="11">
        <v>46063</v>
      </c>
      <c r="J31" s="11"/>
      <c r="K31" s="11"/>
      <c r="L31" s="14">
        <f t="shared" si="0"/>
        <v>0.45762714206746263</v>
      </c>
      <c r="M31" s="4">
        <f t="shared" si="1"/>
        <v>30.661018518519995</v>
      </c>
      <c r="N31" s="26">
        <f t="shared" si="2"/>
        <v>67</v>
      </c>
      <c r="O31" s="30" t="s">
        <v>52</v>
      </c>
      <c r="P31" s="33" t="s">
        <v>68</v>
      </c>
    </row>
    <row r="32" spans="1:16" x14ac:dyDescent="0.35">
      <c r="A32" s="8">
        <v>29</v>
      </c>
      <c r="B32" s="23" t="s">
        <v>33</v>
      </c>
      <c r="C32" s="23" t="s">
        <v>69</v>
      </c>
      <c r="D32" s="23" t="s">
        <v>34</v>
      </c>
      <c r="E32" s="12">
        <v>46006</v>
      </c>
      <c r="F32" s="12">
        <v>46073</v>
      </c>
      <c r="G32" s="10" t="s">
        <v>51</v>
      </c>
      <c r="H32" s="12">
        <v>46048.929826388892</v>
      </c>
      <c r="I32" s="12">
        <v>46073</v>
      </c>
      <c r="J32" s="12"/>
      <c r="K32" s="12"/>
      <c r="L32" s="13">
        <f t="shared" si="0"/>
        <v>0.35925632255384699</v>
      </c>
      <c r="M32" s="3">
        <f t="shared" si="1"/>
        <v>24.070173611107748</v>
      </c>
      <c r="N32" s="27">
        <f t="shared" si="2"/>
        <v>67</v>
      </c>
      <c r="O32" s="29" t="s">
        <v>52</v>
      </c>
      <c r="P32" s="32" t="s">
        <v>70</v>
      </c>
    </row>
    <row r="33" spans="1:16" x14ac:dyDescent="0.35">
      <c r="A33" s="7">
        <v>30</v>
      </c>
      <c r="B33" s="22" t="s">
        <v>33</v>
      </c>
      <c r="C33" s="22">
        <v>790</v>
      </c>
      <c r="D33" s="22" t="s">
        <v>34</v>
      </c>
      <c r="E33" s="11">
        <v>45972</v>
      </c>
      <c r="F33" s="11">
        <v>46039</v>
      </c>
      <c r="G33" s="9" t="s">
        <v>51</v>
      </c>
      <c r="H33" s="11">
        <v>46024.598194444443</v>
      </c>
      <c r="I33" s="11">
        <v>46039</v>
      </c>
      <c r="J33" s="11"/>
      <c r="K33" s="11"/>
      <c r="L33" s="14">
        <f t="shared" si="0"/>
        <v>0.21495232172473247</v>
      </c>
      <c r="M33" s="4">
        <f t="shared" si="1"/>
        <v>14.401805555557075</v>
      </c>
      <c r="N33" s="26">
        <f t="shared" si="2"/>
        <v>67</v>
      </c>
      <c r="O33" s="30" t="s">
        <v>52</v>
      </c>
      <c r="P33" s="33" t="s">
        <v>71</v>
      </c>
    </row>
    <row r="34" spans="1:16" x14ac:dyDescent="0.35">
      <c r="A34" s="8">
        <v>31</v>
      </c>
      <c r="B34" s="23" t="s">
        <v>33</v>
      </c>
      <c r="C34" s="23">
        <v>713</v>
      </c>
      <c r="D34" s="23" t="s">
        <v>34</v>
      </c>
      <c r="E34" s="12">
        <v>45972</v>
      </c>
      <c r="F34" s="12">
        <v>46039</v>
      </c>
      <c r="G34" s="10" t="s">
        <v>51</v>
      </c>
      <c r="H34" s="12">
        <v>46026.453599537039</v>
      </c>
      <c r="I34" s="12">
        <v>46039</v>
      </c>
      <c r="J34" s="12"/>
      <c r="K34" s="12"/>
      <c r="L34" s="13">
        <f t="shared" si="0"/>
        <v>0.18725970840240558</v>
      </c>
      <c r="M34" s="3">
        <f t="shared" si="1"/>
        <v>12.546400462961174</v>
      </c>
      <c r="N34" s="27">
        <f t="shared" si="2"/>
        <v>67</v>
      </c>
      <c r="O34" s="29" t="s">
        <v>52</v>
      </c>
      <c r="P34" s="32" t="s">
        <v>72</v>
      </c>
    </row>
    <row r="35" spans="1:16" x14ac:dyDescent="0.35">
      <c r="A35" s="7">
        <v>32</v>
      </c>
      <c r="B35" s="22" t="s">
        <v>33</v>
      </c>
      <c r="C35" s="22">
        <v>1756</v>
      </c>
      <c r="D35" s="22" t="s">
        <v>34</v>
      </c>
      <c r="E35" s="11">
        <v>45931</v>
      </c>
      <c r="F35" s="11">
        <v>45998</v>
      </c>
      <c r="G35" s="9" t="s">
        <v>51</v>
      </c>
      <c r="H35" s="11">
        <v>45973.003287037027</v>
      </c>
      <c r="I35" s="11">
        <v>45998</v>
      </c>
      <c r="J35" s="11"/>
      <c r="K35" s="11"/>
      <c r="L35" s="14">
        <f t="shared" si="0"/>
        <v>0.37308526810407622</v>
      </c>
      <c r="M35" s="4">
        <f t="shared" si="1"/>
        <v>24.996712962973106</v>
      </c>
      <c r="N35" s="26">
        <f t="shared" si="2"/>
        <v>67</v>
      </c>
      <c r="O35" s="30" t="s">
        <v>52</v>
      </c>
      <c r="P35" s="33" t="s">
        <v>73</v>
      </c>
    </row>
    <row r="36" spans="1:16" x14ac:dyDescent="0.35">
      <c r="A36" s="8">
        <v>33</v>
      </c>
      <c r="B36" s="23" t="s">
        <v>14</v>
      </c>
      <c r="C36" s="23">
        <v>3027</v>
      </c>
      <c r="D36" s="23" t="s">
        <v>34</v>
      </c>
      <c r="E36" s="12">
        <v>46028</v>
      </c>
      <c r="F36" s="12">
        <v>46095</v>
      </c>
      <c r="G36" s="10" t="s">
        <v>51</v>
      </c>
      <c r="H36" s="12">
        <v>46084.757604166669</v>
      </c>
      <c r="I36" s="12">
        <v>46095</v>
      </c>
      <c r="J36" s="12"/>
      <c r="K36" s="12"/>
      <c r="L36" s="13">
        <f t="shared" ref="L36:L67" si="3">M36/N36</f>
        <v>0.15287157960195674</v>
      </c>
      <c r="M36" s="3">
        <f t="shared" ref="M36:M66" si="4">I36-H36</f>
        <v>10.242395833331102</v>
      </c>
      <c r="N36" s="27">
        <f t="shared" ref="N36:N66" si="5">F36-E36</f>
        <v>67</v>
      </c>
      <c r="O36" s="29" t="s">
        <v>52</v>
      </c>
      <c r="P36" s="32" t="s">
        <v>74</v>
      </c>
    </row>
    <row r="37" spans="1:16" x14ac:dyDescent="0.35">
      <c r="A37" s="7">
        <v>34</v>
      </c>
      <c r="B37" s="22" t="s">
        <v>33</v>
      </c>
      <c r="C37" s="22">
        <v>1395</v>
      </c>
      <c r="D37" s="22" t="s">
        <v>34</v>
      </c>
      <c r="E37" s="11">
        <v>46023</v>
      </c>
      <c r="F37" s="11">
        <v>46091</v>
      </c>
      <c r="G37" s="9" t="s">
        <v>75</v>
      </c>
      <c r="H37" s="11">
        <v>46057.728530092587</v>
      </c>
      <c r="I37" s="11">
        <v>46091</v>
      </c>
      <c r="J37" s="11"/>
      <c r="K37" s="11"/>
      <c r="L37" s="14">
        <f t="shared" si="3"/>
        <v>0.48928632216784002</v>
      </c>
      <c r="M37" s="4">
        <f t="shared" si="4"/>
        <v>33.27146990741312</v>
      </c>
      <c r="N37" s="26">
        <f t="shared" si="5"/>
        <v>68</v>
      </c>
      <c r="O37" s="30" t="s">
        <v>52</v>
      </c>
      <c r="P37" s="33" t="s">
        <v>76</v>
      </c>
    </row>
    <row r="38" spans="1:16" ht="78" x14ac:dyDescent="0.35">
      <c r="A38" s="8">
        <v>35</v>
      </c>
      <c r="B38" s="23" t="s">
        <v>14</v>
      </c>
      <c r="C38" s="23">
        <v>3269</v>
      </c>
      <c r="D38" s="23" t="s">
        <v>15</v>
      </c>
      <c r="E38" s="12">
        <v>45931</v>
      </c>
      <c r="F38" s="12">
        <v>45998</v>
      </c>
      <c r="G38" s="10" t="s">
        <v>77</v>
      </c>
      <c r="H38" s="12">
        <v>45945</v>
      </c>
      <c r="I38" s="12">
        <v>45957.489583333343</v>
      </c>
      <c r="J38" s="12"/>
      <c r="K38" s="12"/>
      <c r="L38" s="13">
        <f t="shared" si="3"/>
        <v>0.18641169154243334</v>
      </c>
      <c r="M38" s="3">
        <f t="shared" si="4"/>
        <v>12.489583333343035</v>
      </c>
      <c r="N38" s="27">
        <f t="shared" si="5"/>
        <v>67</v>
      </c>
      <c r="O38" s="29" t="s">
        <v>52</v>
      </c>
      <c r="P38" s="32" t="s">
        <v>78</v>
      </c>
    </row>
    <row r="39" spans="1:16" ht="39" x14ac:dyDescent="0.35">
      <c r="A39" s="7">
        <v>36</v>
      </c>
      <c r="B39" s="22" t="s">
        <v>42</v>
      </c>
      <c r="C39" s="22" t="s">
        <v>79</v>
      </c>
      <c r="D39" s="22" t="s">
        <v>15</v>
      </c>
      <c r="E39" s="11">
        <v>45809</v>
      </c>
      <c r="F39" s="11">
        <v>45876</v>
      </c>
      <c r="G39" s="9" t="s">
        <v>80</v>
      </c>
      <c r="H39" s="11">
        <v>45828.55</v>
      </c>
      <c r="I39" s="11">
        <v>45836.083333333343</v>
      </c>
      <c r="J39" s="11"/>
      <c r="K39" s="11"/>
      <c r="L39" s="14">
        <f t="shared" si="3"/>
        <v>0.11243781094537499</v>
      </c>
      <c r="M39" s="4">
        <f t="shared" si="4"/>
        <v>7.5333333333401242</v>
      </c>
      <c r="N39" s="26">
        <f t="shared" si="5"/>
        <v>67</v>
      </c>
      <c r="O39" s="30" t="s">
        <v>52</v>
      </c>
      <c r="P39" s="33" t="s">
        <v>81</v>
      </c>
    </row>
    <row r="40" spans="1:16" ht="104" x14ac:dyDescent="0.35">
      <c r="A40" s="8">
        <v>37</v>
      </c>
      <c r="B40" s="23" t="s">
        <v>14</v>
      </c>
      <c r="C40" s="23" t="s">
        <v>82</v>
      </c>
      <c r="D40" s="23" t="s">
        <v>15</v>
      </c>
      <c r="E40" s="12">
        <v>45962</v>
      </c>
      <c r="F40" s="12">
        <v>46029</v>
      </c>
      <c r="G40" s="10" t="s">
        <v>83</v>
      </c>
      <c r="H40" s="12">
        <v>45984</v>
      </c>
      <c r="I40" s="12">
        <v>46029</v>
      </c>
      <c r="J40" s="12"/>
      <c r="K40" s="12"/>
      <c r="L40" s="13">
        <f t="shared" si="3"/>
        <v>0.67164179104477617</v>
      </c>
      <c r="M40" s="3">
        <f t="shared" si="4"/>
        <v>45</v>
      </c>
      <c r="N40" s="27">
        <f t="shared" si="5"/>
        <v>67</v>
      </c>
      <c r="O40" s="29" t="s">
        <v>52</v>
      </c>
      <c r="P40" s="32" t="s">
        <v>84</v>
      </c>
    </row>
    <row r="41" spans="1:16" ht="26" customHeight="1" x14ac:dyDescent="0.35">
      <c r="A41" s="7">
        <v>38</v>
      </c>
      <c r="B41" s="22" t="s">
        <v>33</v>
      </c>
      <c r="C41" s="22" t="s">
        <v>85</v>
      </c>
      <c r="D41" s="22" t="s">
        <v>34</v>
      </c>
      <c r="E41" s="11">
        <v>45987</v>
      </c>
      <c r="F41" s="11">
        <v>46054</v>
      </c>
      <c r="G41" s="9" t="s">
        <v>51</v>
      </c>
      <c r="H41" s="11">
        <v>46031.849722222221</v>
      </c>
      <c r="I41" s="11">
        <v>46054.083333333343</v>
      </c>
      <c r="J41" s="11"/>
      <c r="K41" s="11"/>
      <c r="L41" s="14">
        <f t="shared" si="3"/>
        <v>0.33184494195704056</v>
      </c>
      <c r="M41" s="4">
        <f t="shared" si="4"/>
        <v>22.233611111121718</v>
      </c>
      <c r="N41" s="26">
        <f t="shared" si="5"/>
        <v>67</v>
      </c>
      <c r="O41" s="30" t="s">
        <v>52</v>
      </c>
      <c r="P41" s="33" t="s">
        <v>86</v>
      </c>
    </row>
    <row r="42" spans="1:16" ht="26" customHeight="1" x14ac:dyDescent="0.35">
      <c r="A42" s="8">
        <v>39</v>
      </c>
      <c r="B42" s="23" t="s">
        <v>14</v>
      </c>
      <c r="C42" s="23">
        <v>3261</v>
      </c>
      <c r="D42" s="23" t="s">
        <v>34</v>
      </c>
      <c r="E42" s="12">
        <v>45899</v>
      </c>
      <c r="F42" s="12">
        <v>45966</v>
      </c>
      <c r="G42" s="10" t="s">
        <v>51</v>
      </c>
      <c r="H42" s="12">
        <v>45953</v>
      </c>
      <c r="I42" s="12">
        <v>45966.083333333343</v>
      </c>
      <c r="J42" s="12"/>
      <c r="K42" s="12"/>
      <c r="L42" s="13">
        <f t="shared" si="3"/>
        <v>0.19527363184094082</v>
      </c>
      <c r="M42" s="3">
        <f t="shared" si="4"/>
        <v>13.083333333343035</v>
      </c>
      <c r="N42" s="27">
        <f t="shared" si="5"/>
        <v>67</v>
      </c>
      <c r="O42" s="29" t="s">
        <v>52</v>
      </c>
      <c r="P42" s="32" t="s">
        <v>87</v>
      </c>
    </row>
    <row r="43" spans="1:16" ht="26" customHeight="1" x14ac:dyDescent="0.35">
      <c r="A43" s="7">
        <v>40</v>
      </c>
      <c r="B43" s="22" t="s">
        <v>14</v>
      </c>
      <c r="C43" s="22" t="s">
        <v>88</v>
      </c>
      <c r="D43" s="22" t="s">
        <v>28</v>
      </c>
      <c r="E43" s="11">
        <v>45813</v>
      </c>
      <c r="F43" s="11">
        <v>45880</v>
      </c>
      <c r="G43" s="9" t="s">
        <v>51</v>
      </c>
      <c r="H43" s="11">
        <v>45879.402777777781</v>
      </c>
      <c r="I43" s="11">
        <v>45880</v>
      </c>
      <c r="J43" s="11"/>
      <c r="K43" s="11"/>
      <c r="L43" s="14">
        <f t="shared" si="3"/>
        <v>8.9137645107311703E-3</v>
      </c>
      <c r="M43" s="4">
        <f t="shared" si="4"/>
        <v>0.59722222221898846</v>
      </c>
      <c r="N43" s="26">
        <f t="shared" si="5"/>
        <v>67</v>
      </c>
      <c r="O43" s="30" t="s">
        <v>52</v>
      </c>
      <c r="P43" s="33" t="s">
        <v>89</v>
      </c>
    </row>
    <row r="44" spans="1:16" x14ac:dyDescent="0.35">
      <c r="A44" s="8">
        <v>41</v>
      </c>
      <c r="B44" s="23" t="s">
        <v>33</v>
      </c>
      <c r="C44" s="23">
        <v>524</v>
      </c>
      <c r="D44" s="23" t="s">
        <v>28</v>
      </c>
      <c r="E44" s="12">
        <v>45809</v>
      </c>
      <c r="F44" s="12">
        <v>45818</v>
      </c>
      <c r="G44" s="10" t="s">
        <v>90</v>
      </c>
      <c r="H44" s="12">
        <v>45817.818055555559</v>
      </c>
      <c r="I44" s="12">
        <v>45818.645833333343</v>
      </c>
      <c r="J44" s="12"/>
      <c r="K44" s="12"/>
      <c r="L44" s="13">
        <f t="shared" si="3"/>
        <v>9.1975308642657988E-2</v>
      </c>
      <c r="M44" s="3">
        <f t="shared" si="4"/>
        <v>0.82777777778392192</v>
      </c>
      <c r="N44" s="27">
        <f t="shared" si="5"/>
        <v>9</v>
      </c>
      <c r="O44" s="29" t="s">
        <v>52</v>
      </c>
      <c r="P44" s="32" t="s">
        <v>91</v>
      </c>
    </row>
    <row r="45" spans="1:16" x14ac:dyDescent="0.35">
      <c r="A45" s="7">
        <v>42</v>
      </c>
      <c r="B45" s="22" t="s">
        <v>33</v>
      </c>
      <c r="C45" s="22" t="s">
        <v>92</v>
      </c>
      <c r="D45" s="22" t="s">
        <v>28</v>
      </c>
      <c r="E45" s="11">
        <v>45818</v>
      </c>
      <c r="F45" s="11">
        <v>45885</v>
      </c>
      <c r="G45" s="9" t="s">
        <v>51</v>
      </c>
      <c r="H45" s="11">
        <v>45883.014363425929</v>
      </c>
      <c r="I45" s="11">
        <v>45885</v>
      </c>
      <c r="J45" s="11"/>
      <c r="K45" s="11"/>
      <c r="L45" s="14">
        <f t="shared" si="3"/>
        <v>2.9636366777174145E-2</v>
      </c>
      <c r="M45" s="4">
        <f t="shared" si="4"/>
        <v>1.9856365740706678</v>
      </c>
      <c r="N45" s="26">
        <f t="shared" si="5"/>
        <v>67</v>
      </c>
      <c r="O45" s="30" t="s">
        <v>52</v>
      </c>
      <c r="P45" s="33" t="s">
        <v>93</v>
      </c>
    </row>
    <row r="46" spans="1:16" x14ac:dyDescent="0.35">
      <c r="A46" s="8">
        <v>43</v>
      </c>
      <c r="B46" s="23" t="s">
        <v>14</v>
      </c>
      <c r="C46" s="23">
        <v>3245</v>
      </c>
      <c r="D46" s="23" t="s">
        <v>15</v>
      </c>
      <c r="E46" s="12">
        <v>45892</v>
      </c>
      <c r="F46" s="12">
        <v>45959</v>
      </c>
      <c r="G46" s="10" t="s">
        <v>51</v>
      </c>
      <c r="H46" s="12">
        <v>45939.300694444442</v>
      </c>
      <c r="I46" s="12">
        <v>45959</v>
      </c>
      <c r="J46" s="12"/>
      <c r="K46" s="12"/>
      <c r="L46" s="13">
        <f t="shared" si="3"/>
        <v>0.29401948590384563</v>
      </c>
      <c r="M46" s="3">
        <f t="shared" si="4"/>
        <v>19.699305555557657</v>
      </c>
      <c r="N46" s="27">
        <f t="shared" si="5"/>
        <v>67</v>
      </c>
      <c r="O46" s="29" t="s">
        <v>52</v>
      </c>
      <c r="P46" s="32" t="s">
        <v>94</v>
      </c>
    </row>
    <row r="47" spans="1:16" x14ac:dyDescent="0.35">
      <c r="A47" s="7">
        <v>44</v>
      </c>
      <c r="B47" s="22" t="s">
        <v>33</v>
      </c>
      <c r="C47" s="22">
        <v>1151</v>
      </c>
      <c r="D47" s="22" t="s">
        <v>95</v>
      </c>
      <c r="E47" s="11">
        <v>46137.083333333343</v>
      </c>
      <c r="F47" s="11">
        <v>46149.083333333343</v>
      </c>
      <c r="G47" s="9" t="s">
        <v>96</v>
      </c>
      <c r="H47" s="11"/>
      <c r="I47" s="11"/>
      <c r="J47" s="11"/>
      <c r="K47" s="11"/>
      <c r="L47" s="14">
        <f t="shared" si="3"/>
        <v>0</v>
      </c>
      <c r="M47" s="4">
        <f t="shared" si="4"/>
        <v>0</v>
      </c>
      <c r="N47" s="26">
        <f t="shared" si="5"/>
        <v>12</v>
      </c>
      <c r="O47" s="30" t="s">
        <v>97</v>
      </c>
      <c r="P47" s="33" t="s">
        <v>98</v>
      </c>
    </row>
    <row r="48" spans="1:16" x14ac:dyDescent="0.35">
      <c r="A48" s="8">
        <v>45</v>
      </c>
      <c r="B48" s="23" t="s">
        <v>33</v>
      </c>
      <c r="C48" s="23" t="s">
        <v>99</v>
      </c>
      <c r="D48" s="23" t="s">
        <v>95</v>
      </c>
      <c r="E48" s="12">
        <v>46125.083333333343</v>
      </c>
      <c r="F48" s="12">
        <v>46139.083333333343</v>
      </c>
      <c r="G48" s="10" t="s">
        <v>96</v>
      </c>
      <c r="H48" s="12"/>
      <c r="I48" s="12"/>
      <c r="J48" s="12"/>
      <c r="K48" s="12"/>
      <c r="L48" s="13">
        <f t="shared" si="3"/>
        <v>0</v>
      </c>
      <c r="M48" s="3">
        <f t="shared" si="4"/>
        <v>0</v>
      </c>
      <c r="N48" s="27">
        <f t="shared" si="5"/>
        <v>14</v>
      </c>
      <c r="O48" s="29" t="s">
        <v>97</v>
      </c>
      <c r="P48" s="32" t="s">
        <v>100</v>
      </c>
    </row>
    <row r="49" spans="1:16" x14ac:dyDescent="0.35">
      <c r="A49" s="7">
        <v>46</v>
      </c>
      <c r="B49" s="22" t="s">
        <v>33</v>
      </c>
      <c r="C49" s="22" t="s">
        <v>101</v>
      </c>
      <c r="D49" s="22" t="s">
        <v>95</v>
      </c>
      <c r="E49" s="11">
        <v>46131.083333333343</v>
      </c>
      <c r="F49" s="11">
        <v>46139.083333333343</v>
      </c>
      <c r="G49" s="9" t="s">
        <v>96</v>
      </c>
      <c r="H49" s="11"/>
      <c r="I49" s="11"/>
      <c r="J49" s="11"/>
      <c r="K49" s="11"/>
      <c r="L49" s="14">
        <f t="shared" si="3"/>
        <v>0</v>
      </c>
      <c r="M49" s="4">
        <f t="shared" si="4"/>
        <v>0</v>
      </c>
      <c r="N49" s="26">
        <f t="shared" si="5"/>
        <v>8</v>
      </c>
      <c r="O49" s="30" t="s">
        <v>97</v>
      </c>
      <c r="P49" s="33" t="s">
        <v>102</v>
      </c>
    </row>
    <row r="50" spans="1:16" x14ac:dyDescent="0.35">
      <c r="A50" s="8">
        <v>47</v>
      </c>
      <c r="B50" s="23" t="s">
        <v>33</v>
      </c>
      <c r="C50" s="23">
        <v>1247</v>
      </c>
      <c r="D50" s="23" t="s">
        <v>95</v>
      </c>
      <c r="E50" s="12">
        <v>46129.083333333343</v>
      </c>
      <c r="F50" s="12">
        <v>46149.083333333343</v>
      </c>
      <c r="G50" s="10" t="s">
        <v>96</v>
      </c>
      <c r="H50" s="12"/>
      <c r="I50" s="12"/>
      <c r="J50" s="12"/>
      <c r="K50" s="12"/>
      <c r="L50" s="13">
        <f t="shared" si="3"/>
        <v>0</v>
      </c>
      <c r="M50" s="3">
        <f t="shared" si="4"/>
        <v>0</v>
      </c>
      <c r="N50" s="27">
        <f t="shared" si="5"/>
        <v>20</v>
      </c>
      <c r="O50" s="29" t="s">
        <v>97</v>
      </c>
      <c r="P50" s="32" t="s">
        <v>103</v>
      </c>
    </row>
    <row r="51" spans="1:16" x14ac:dyDescent="0.35">
      <c r="A51" s="7">
        <v>48</v>
      </c>
      <c r="B51" s="22" t="s">
        <v>33</v>
      </c>
      <c r="C51" s="22">
        <v>126</v>
      </c>
      <c r="D51" s="22" t="s">
        <v>95</v>
      </c>
      <c r="E51" s="11">
        <v>46129.083333333343</v>
      </c>
      <c r="F51" s="11">
        <v>46139.083333333343</v>
      </c>
      <c r="G51" s="9" t="s">
        <v>96</v>
      </c>
      <c r="H51" s="11"/>
      <c r="I51" s="11"/>
      <c r="J51" s="11"/>
      <c r="K51" s="11"/>
      <c r="L51" s="14">
        <f t="shared" si="3"/>
        <v>0</v>
      </c>
      <c r="M51" s="4">
        <f t="shared" si="4"/>
        <v>0</v>
      </c>
      <c r="N51" s="26">
        <f t="shared" si="5"/>
        <v>10</v>
      </c>
      <c r="O51" s="30" t="s">
        <v>97</v>
      </c>
      <c r="P51" s="33" t="s">
        <v>104</v>
      </c>
    </row>
    <row r="52" spans="1:16" x14ac:dyDescent="0.35">
      <c r="A52" s="8">
        <v>49</v>
      </c>
      <c r="B52" s="23" t="s">
        <v>33</v>
      </c>
      <c r="C52" s="23" t="s">
        <v>85</v>
      </c>
      <c r="D52" s="23" t="s">
        <v>95</v>
      </c>
      <c r="E52" s="12">
        <v>46125.083333333343</v>
      </c>
      <c r="F52" s="12">
        <v>46149.083333333343</v>
      </c>
      <c r="G52" s="10" t="s">
        <v>96</v>
      </c>
      <c r="H52" s="12"/>
      <c r="I52" s="12"/>
      <c r="J52" s="12"/>
      <c r="K52" s="12"/>
      <c r="L52" s="13">
        <f t="shared" si="3"/>
        <v>0</v>
      </c>
      <c r="M52" s="3">
        <f t="shared" si="4"/>
        <v>0</v>
      </c>
      <c r="N52" s="27">
        <f t="shared" si="5"/>
        <v>24</v>
      </c>
      <c r="O52" s="29" t="s">
        <v>97</v>
      </c>
      <c r="P52" s="32" t="s">
        <v>105</v>
      </c>
    </row>
    <row r="53" spans="1:16" x14ac:dyDescent="0.35">
      <c r="A53" s="7">
        <v>50</v>
      </c>
      <c r="B53" s="22" t="s">
        <v>33</v>
      </c>
      <c r="C53" s="22" t="s">
        <v>106</v>
      </c>
      <c r="D53" s="22" t="s">
        <v>95</v>
      </c>
      <c r="E53" s="11">
        <v>46113.083333333343</v>
      </c>
      <c r="F53" s="11">
        <v>46143.083333333343</v>
      </c>
      <c r="G53" s="9" t="s">
        <v>96</v>
      </c>
      <c r="H53" s="11"/>
      <c r="I53" s="11"/>
      <c r="J53" s="11"/>
      <c r="K53" s="11"/>
      <c r="L53" s="14">
        <f t="shared" si="3"/>
        <v>0</v>
      </c>
      <c r="M53" s="4">
        <f t="shared" si="4"/>
        <v>0</v>
      </c>
      <c r="N53" s="26">
        <f t="shared" si="5"/>
        <v>30</v>
      </c>
      <c r="O53" s="30" t="s">
        <v>97</v>
      </c>
      <c r="P53" s="33" t="s">
        <v>107</v>
      </c>
    </row>
    <row r="54" spans="1:16" x14ac:dyDescent="0.35">
      <c r="A54" s="8">
        <v>51</v>
      </c>
      <c r="B54" s="23" t="s">
        <v>33</v>
      </c>
      <c r="C54" s="23">
        <v>144</v>
      </c>
      <c r="D54" s="23" t="s">
        <v>95</v>
      </c>
      <c r="E54" s="12">
        <v>46127.083333333343</v>
      </c>
      <c r="F54" s="12">
        <v>46135.083333333343</v>
      </c>
      <c r="G54" s="10" t="s">
        <v>96</v>
      </c>
      <c r="H54" s="12"/>
      <c r="I54" s="12"/>
      <c r="J54" s="12"/>
      <c r="K54" s="12"/>
      <c r="L54" s="13">
        <f t="shared" si="3"/>
        <v>0</v>
      </c>
      <c r="M54" s="3">
        <f t="shared" si="4"/>
        <v>0</v>
      </c>
      <c r="N54" s="27">
        <f t="shared" si="5"/>
        <v>8</v>
      </c>
      <c r="O54" s="29" t="s">
        <v>97</v>
      </c>
      <c r="P54" s="32" t="s">
        <v>108</v>
      </c>
    </row>
    <row r="55" spans="1:16" x14ac:dyDescent="0.35">
      <c r="A55" s="7">
        <v>52</v>
      </c>
      <c r="B55" s="22" t="s">
        <v>33</v>
      </c>
      <c r="C55" s="22" t="s">
        <v>109</v>
      </c>
      <c r="D55" s="22" t="s">
        <v>95</v>
      </c>
      <c r="E55" s="11">
        <v>46129.083333333343</v>
      </c>
      <c r="F55" s="11">
        <v>46149.083333333343</v>
      </c>
      <c r="G55" s="9" t="s">
        <v>96</v>
      </c>
      <c r="H55" s="11"/>
      <c r="I55" s="11"/>
      <c r="J55" s="11"/>
      <c r="K55" s="11"/>
      <c r="L55" s="14">
        <f t="shared" si="3"/>
        <v>0</v>
      </c>
      <c r="M55" s="4">
        <f t="shared" si="4"/>
        <v>0</v>
      </c>
      <c r="N55" s="26">
        <f t="shared" si="5"/>
        <v>20</v>
      </c>
      <c r="O55" s="30" t="s">
        <v>97</v>
      </c>
      <c r="P55" s="33" t="s">
        <v>110</v>
      </c>
    </row>
    <row r="56" spans="1:16" x14ac:dyDescent="0.35">
      <c r="A56" s="8">
        <v>53</v>
      </c>
      <c r="B56" s="23" t="s">
        <v>33</v>
      </c>
      <c r="C56" s="23">
        <v>220</v>
      </c>
      <c r="D56" s="23" t="s">
        <v>95</v>
      </c>
      <c r="E56" s="12">
        <v>46137.083333333343</v>
      </c>
      <c r="F56" s="12">
        <v>46151.083333333343</v>
      </c>
      <c r="G56" s="10" t="s">
        <v>96</v>
      </c>
      <c r="H56" s="12"/>
      <c r="I56" s="12"/>
      <c r="J56" s="12"/>
      <c r="K56" s="12"/>
      <c r="L56" s="13">
        <f t="shared" si="3"/>
        <v>0</v>
      </c>
      <c r="M56" s="3">
        <f t="shared" si="4"/>
        <v>0</v>
      </c>
      <c r="N56" s="27">
        <f t="shared" si="5"/>
        <v>14</v>
      </c>
      <c r="O56" s="29" t="s">
        <v>97</v>
      </c>
      <c r="P56" s="32" t="s">
        <v>111</v>
      </c>
    </row>
    <row r="57" spans="1:16" x14ac:dyDescent="0.35">
      <c r="A57" s="7">
        <v>54</v>
      </c>
      <c r="B57" s="22" t="s">
        <v>33</v>
      </c>
      <c r="C57" s="22">
        <v>254</v>
      </c>
      <c r="D57" s="22" t="s">
        <v>95</v>
      </c>
      <c r="E57" s="11">
        <v>46127.083333333343</v>
      </c>
      <c r="F57" s="11">
        <v>46147.083333333343</v>
      </c>
      <c r="G57" s="9" t="s">
        <v>96</v>
      </c>
      <c r="H57" s="11"/>
      <c r="I57" s="11"/>
      <c r="J57" s="11"/>
      <c r="K57" s="11"/>
      <c r="L57" s="14">
        <f t="shared" si="3"/>
        <v>0</v>
      </c>
      <c r="M57" s="4">
        <f t="shared" si="4"/>
        <v>0</v>
      </c>
      <c r="N57" s="26">
        <f t="shared" si="5"/>
        <v>20</v>
      </c>
      <c r="O57" s="30" t="s">
        <v>97</v>
      </c>
      <c r="P57" s="33" t="s">
        <v>112</v>
      </c>
    </row>
    <row r="58" spans="1:16" x14ac:dyDescent="0.35">
      <c r="A58" s="8">
        <v>55</v>
      </c>
      <c r="B58" s="23" t="s">
        <v>33</v>
      </c>
      <c r="C58" s="23">
        <v>2661</v>
      </c>
      <c r="D58" s="23" t="s">
        <v>95</v>
      </c>
      <c r="E58" s="12">
        <v>46125.083333333343</v>
      </c>
      <c r="F58" s="12">
        <v>46133.083333333343</v>
      </c>
      <c r="G58" s="10" t="s">
        <v>96</v>
      </c>
      <c r="H58" s="12"/>
      <c r="I58" s="12"/>
      <c r="J58" s="12"/>
      <c r="K58" s="12"/>
      <c r="L58" s="13">
        <f t="shared" si="3"/>
        <v>0</v>
      </c>
      <c r="M58" s="3">
        <f t="shared" si="4"/>
        <v>0</v>
      </c>
      <c r="N58" s="27">
        <f t="shared" si="5"/>
        <v>8</v>
      </c>
      <c r="O58" s="29" t="s">
        <v>97</v>
      </c>
      <c r="P58" s="32" t="s">
        <v>113</v>
      </c>
    </row>
    <row r="59" spans="1:16" x14ac:dyDescent="0.35">
      <c r="A59" s="7">
        <v>56</v>
      </c>
      <c r="B59" s="22" t="s">
        <v>33</v>
      </c>
      <c r="C59" s="22">
        <v>4649</v>
      </c>
      <c r="D59" s="22" t="s">
        <v>95</v>
      </c>
      <c r="E59" s="11">
        <v>46125.083333333343</v>
      </c>
      <c r="F59" s="11">
        <v>46139.083333333343</v>
      </c>
      <c r="G59" s="9" t="s">
        <v>96</v>
      </c>
      <c r="H59" s="11"/>
      <c r="I59" s="11"/>
      <c r="J59" s="11"/>
      <c r="K59" s="11"/>
      <c r="L59" s="14">
        <f t="shared" si="3"/>
        <v>0</v>
      </c>
      <c r="M59" s="4">
        <f t="shared" si="4"/>
        <v>0</v>
      </c>
      <c r="N59" s="26">
        <f t="shared" si="5"/>
        <v>14</v>
      </c>
      <c r="O59" s="30" t="s">
        <v>97</v>
      </c>
      <c r="P59" s="33" t="s">
        <v>114</v>
      </c>
    </row>
    <row r="60" spans="1:16" x14ac:dyDescent="0.35">
      <c r="A60" s="8">
        <v>57</v>
      </c>
      <c r="B60" s="23" t="s">
        <v>33</v>
      </c>
      <c r="C60" s="23">
        <v>512</v>
      </c>
      <c r="D60" s="23" t="s">
        <v>95</v>
      </c>
      <c r="E60" s="12">
        <v>46125.083333333343</v>
      </c>
      <c r="F60" s="12">
        <v>46139.083333333343</v>
      </c>
      <c r="G60" s="10" t="s">
        <v>96</v>
      </c>
      <c r="H60" s="12"/>
      <c r="I60" s="12"/>
      <c r="J60" s="12"/>
      <c r="K60" s="12"/>
      <c r="L60" s="13">
        <f t="shared" si="3"/>
        <v>0</v>
      </c>
      <c r="M60" s="3">
        <f t="shared" si="4"/>
        <v>0</v>
      </c>
      <c r="N60" s="27">
        <f t="shared" si="5"/>
        <v>14</v>
      </c>
      <c r="O60" s="29" t="s">
        <v>97</v>
      </c>
      <c r="P60" s="32" t="s">
        <v>115</v>
      </c>
    </row>
    <row r="61" spans="1:16" x14ac:dyDescent="0.35">
      <c r="A61" s="7">
        <v>58</v>
      </c>
      <c r="B61" s="22" t="s">
        <v>33</v>
      </c>
      <c r="C61" s="22">
        <v>5302</v>
      </c>
      <c r="D61" s="22" t="s">
        <v>95</v>
      </c>
      <c r="E61" s="11">
        <v>46127.083333333343</v>
      </c>
      <c r="F61" s="11">
        <v>46133.083333333343</v>
      </c>
      <c r="G61" s="9" t="s">
        <v>96</v>
      </c>
      <c r="H61" s="11"/>
      <c r="I61" s="11"/>
      <c r="J61" s="11"/>
      <c r="K61" s="11"/>
      <c r="L61" s="14">
        <f t="shared" si="3"/>
        <v>0</v>
      </c>
      <c r="M61" s="4">
        <f t="shared" si="4"/>
        <v>0</v>
      </c>
      <c r="N61" s="26">
        <f t="shared" si="5"/>
        <v>6</v>
      </c>
      <c r="O61" s="30" t="s">
        <v>97</v>
      </c>
      <c r="P61" s="33" t="s">
        <v>116</v>
      </c>
    </row>
    <row r="62" spans="1:16" x14ac:dyDescent="0.35">
      <c r="A62" s="8">
        <v>59</v>
      </c>
      <c r="B62" s="23" t="s">
        <v>33</v>
      </c>
      <c r="C62" s="23">
        <v>5467</v>
      </c>
      <c r="D62" s="23" t="s">
        <v>95</v>
      </c>
      <c r="E62" s="12">
        <v>46127.083333333343</v>
      </c>
      <c r="F62" s="12">
        <v>46151.083333333343</v>
      </c>
      <c r="G62" s="10" t="s">
        <v>96</v>
      </c>
      <c r="H62" s="12"/>
      <c r="I62" s="12"/>
      <c r="J62" s="12"/>
      <c r="K62" s="12"/>
      <c r="L62" s="13">
        <f t="shared" si="3"/>
        <v>0</v>
      </c>
      <c r="M62" s="3">
        <f t="shared" si="4"/>
        <v>0</v>
      </c>
      <c r="N62" s="27">
        <f t="shared" si="5"/>
        <v>24</v>
      </c>
      <c r="O62" s="29" t="s">
        <v>97</v>
      </c>
      <c r="P62" s="32" t="s">
        <v>117</v>
      </c>
    </row>
    <row r="63" spans="1:16" x14ac:dyDescent="0.35">
      <c r="A63" s="7">
        <v>60</v>
      </c>
      <c r="B63" s="22" t="s">
        <v>33</v>
      </c>
      <c r="C63" s="22">
        <v>610</v>
      </c>
      <c r="D63" s="22" t="s">
        <v>95</v>
      </c>
      <c r="E63" s="11">
        <v>46125.083333333343</v>
      </c>
      <c r="F63" s="11">
        <v>46133.083333333343</v>
      </c>
      <c r="G63" s="9" t="s">
        <v>96</v>
      </c>
      <c r="H63" s="11"/>
      <c r="I63" s="11"/>
      <c r="J63" s="11"/>
      <c r="K63" s="11"/>
      <c r="L63" s="14">
        <f t="shared" si="3"/>
        <v>0</v>
      </c>
      <c r="M63" s="4">
        <f t="shared" si="4"/>
        <v>0</v>
      </c>
      <c r="N63" s="26">
        <f t="shared" si="5"/>
        <v>8</v>
      </c>
      <c r="O63" s="30" t="s">
        <v>97</v>
      </c>
      <c r="P63" s="33" t="s">
        <v>118</v>
      </c>
    </row>
    <row r="64" spans="1:16" x14ac:dyDescent="0.35">
      <c r="A64" s="8">
        <v>61</v>
      </c>
      <c r="B64" s="23" t="s">
        <v>33</v>
      </c>
      <c r="C64" s="23">
        <v>660</v>
      </c>
      <c r="D64" s="23" t="s">
        <v>95</v>
      </c>
      <c r="E64" s="12">
        <v>46139.083333333343</v>
      </c>
      <c r="F64" s="12">
        <v>46149.083333333343</v>
      </c>
      <c r="G64" s="10" t="s">
        <v>96</v>
      </c>
      <c r="H64" s="12"/>
      <c r="I64" s="12"/>
      <c r="J64" s="12"/>
      <c r="K64" s="12"/>
      <c r="L64" s="13">
        <f t="shared" si="3"/>
        <v>0</v>
      </c>
      <c r="M64" s="3">
        <f t="shared" si="4"/>
        <v>0</v>
      </c>
      <c r="N64" s="27">
        <f t="shared" si="5"/>
        <v>10</v>
      </c>
      <c r="O64" s="29" t="s">
        <v>97</v>
      </c>
      <c r="P64" s="32" t="s">
        <v>119</v>
      </c>
    </row>
    <row r="65" spans="1:16" x14ac:dyDescent="0.35">
      <c r="A65" s="7">
        <v>62</v>
      </c>
      <c r="B65" s="22" t="s">
        <v>33</v>
      </c>
      <c r="C65" s="22">
        <v>662</v>
      </c>
      <c r="D65" s="22" t="s">
        <v>95</v>
      </c>
      <c r="E65" s="11">
        <v>46125.083333333343</v>
      </c>
      <c r="F65" s="11">
        <v>46137.083333333343</v>
      </c>
      <c r="G65" s="9" t="s">
        <v>96</v>
      </c>
      <c r="H65" s="11"/>
      <c r="I65" s="11"/>
      <c r="J65" s="11"/>
      <c r="K65" s="11"/>
      <c r="L65" s="14">
        <f t="shared" si="3"/>
        <v>0</v>
      </c>
      <c r="M65" s="4">
        <f t="shared" si="4"/>
        <v>0</v>
      </c>
      <c r="N65" s="26">
        <f t="shared" si="5"/>
        <v>12</v>
      </c>
      <c r="O65" s="30" t="s">
        <v>97</v>
      </c>
      <c r="P65" s="33" t="s">
        <v>120</v>
      </c>
    </row>
    <row r="66" spans="1:16" ht="15" thickBot="1" x14ac:dyDescent="0.4">
      <c r="A66" s="15">
        <v>63</v>
      </c>
      <c r="B66" s="24" t="s">
        <v>33</v>
      </c>
      <c r="C66" s="24">
        <v>8016</v>
      </c>
      <c r="D66" s="24" t="s">
        <v>95</v>
      </c>
      <c r="E66" s="16">
        <v>46137.083333333343</v>
      </c>
      <c r="F66" s="16">
        <v>46151.083333333343</v>
      </c>
      <c r="G66" s="18" t="s">
        <v>96</v>
      </c>
      <c r="H66" s="16"/>
      <c r="I66" s="16"/>
      <c r="J66" s="16"/>
      <c r="K66" s="16"/>
      <c r="L66" s="17">
        <f t="shared" si="3"/>
        <v>0</v>
      </c>
      <c r="M66" s="21">
        <f t="shared" si="4"/>
        <v>0</v>
      </c>
      <c r="N66" s="28">
        <f t="shared" si="5"/>
        <v>14</v>
      </c>
      <c r="O66" s="31" t="s">
        <v>97</v>
      </c>
      <c r="P66" s="34" t="s">
        <v>121</v>
      </c>
    </row>
    <row r="74" spans="1:16" ht="15" customHeight="1" x14ac:dyDescent="0.35"/>
    <row r="94" ht="15" customHeight="1" x14ac:dyDescent="0.35"/>
  </sheetData>
  <autoFilter ref="A3:P94" xr:uid="{00000000-0001-0000-0000-000000000000}"/>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Chics Razer</cp:lastModifiedBy>
  <dcterms:created xsi:type="dcterms:W3CDTF">2026-01-29T19:12:52Z</dcterms:created>
  <dcterms:modified xsi:type="dcterms:W3CDTF">2026-05-29T12:09:47Z</dcterms:modified>
</cp:coreProperties>
</file>