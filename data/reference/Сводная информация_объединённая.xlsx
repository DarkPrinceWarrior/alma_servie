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38620" windowHeight="21100" tabRatio="600" firstSheet="0" activeTab="0" autoFilterDateGrouping="1"/>
  </bookViews>
  <sheets>
    <sheet name="Лист1" sheetId="1" state="visible" r:id="rId1"/>
  </sheets>
  <definedNames>
    <definedName name="_xlnm._FilterDatabase" localSheetId="0" hidden="1">'Лист1'!$A$3:$P$94</definedName>
  </definedNames>
  <calcPr calcId="181029" fullCalcOnLoad="1"/>
</workbook>
</file>

<file path=xl/styles.xml><?xml version="1.0" encoding="utf-8"?>
<styleSheet xmlns="http://schemas.openxmlformats.org/spreadsheetml/2006/main">
  <numFmts count="3">
    <numFmt numFmtId="164" formatCode="0.0"/>
    <numFmt numFmtId="165" formatCode="dd\.mm\.yyyy\ hh:mm"/>
    <numFmt numFmtId="166" formatCode="DD.MM.YYYY"/>
  </numFmts>
  <fonts count="8">
    <font>
      <name val="Calibri"/>
      <charset val="204"/>
      <family val="2"/>
      <color theme="1"/>
      <sz val="11"/>
      <scheme val="minor"/>
    </font>
    <font>
      <name val="Times New Roman"/>
      <family val="1"/>
      <sz val="9"/>
    </font>
    <font>
      <name val="Calibri"/>
      <charset val="204"/>
      <family val="2"/>
      <color theme="1"/>
      <sz val="11"/>
      <scheme val="minor"/>
    </font>
    <font>
      <name val="Calibri"/>
      <color rgb="FF000000"/>
      <sz val="11"/>
      <scheme val="minor"/>
    </font>
    <font>
      <name val="Calibri"/>
      <charset val="204"/>
      <family val="2"/>
      <b val="1"/>
      <color rgb="FFFFFFFF"/>
      <sz val="11"/>
      <scheme val="minor"/>
    </font>
    <font>
      <name val="Calibri"/>
      <color rgb="FF000000"/>
      <sz val="10"/>
      <scheme val="minor"/>
    </font>
    <font>
      <name val="Calibri"/>
      <color rgb="FF7F7F7F"/>
      <sz val="11"/>
      <scheme val="minor"/>
    </font>
    <font>
      <name val="Calibri"/>
      <b val="1"/>
      <color rgb="FFFFFFFF"/>
      <sz val="11"/>
    </font>
  </fonts>
  <fills count="5">
    <fill>
      <patternFill/>
    </fill>
    <fill>
      <patternFill patternType="gray125"/>
    </fill>
    <fill>
      <patternFill patternType="solid">
        <fgColor rgb="FFF2F5FA"/>
        <bgColor indexed="64"/>
      </patternFill>
    </fill>
    <fill>
      <patternFill patternType="solid">
        <fgColor rgb="FFFFFFFF"/>
        <bgColor indexed="64"/>
      </patternFill>
    </fill>
    <fill>
      <patternFill patternType="solid">
        <fgColor rgb="FF1F3864"/>
        <bgColor indexed="64"/>
      </patternFill>
    </fill>
  </fills>
  <borders count="15">
    <border>
      <left/>
      <right/>
      <top/>
      <bottom/>
      <diagonal/>
    </border>
    <border>
      <left style="thin">
        <color rgb="FFD0D7E5"/>
      </left>
      <right style="thin">
        <color rgb="FFD0D7E5"/>
      </right>
      <top style="thin">
        <color rgb="FFD0D7E5"/>
      </top>
      <bottom style="thin">
        <color rgb="FFD0D7E5"/>
      </bottom>
      <diagonal/>
    </border>
    <border>
      <left style="medium">
        <color rgb="FF1F3864"/>
      </left>
      <right style="thin">
        <color rgb="FFD0D7E5"/>
      </right>
      <top style="thin">
        <color rgb="FFD0D7E5"/>
      </top>
      <bottom style="thin">
        <color rgb="FFD0D7E5"/>
      </bottom>
      <diagonal/>
    </border>
    <border>
      <left style="thin">
        <color rgb="FFD0D7E5"/>
      </left>
      <right style="medium">
        <color rgb="FF1F3864"/>
      </right>
      <top style="thin">
        <color rgb="FFD0D7E5"/>
      </top>
      <bottom style="thin">
        <color rgb="FFD0D7E5"/>
      </bottom>
      <diagonal/>
    </border>
    <border>
      <left style="medium">
        <color rgb="FF1F3864"/>
      </left>
      <right style="thin">
        <color rgb="FFD0D7E5"/>
      </right>
      <top/>
      <bottom style="thin">
        <color rgb="FFD0D7E5"/>
      </bottom>
      <diagonal/>
    </border>
    <border>
      <left style="thin">
        <color rgb="FFD0D7E5"/>
      </left>
      <right style="medium">
        <color rgb="FF1F3864"/>
      </right>
      <top/>
      <bottom style="thin">
        <color rgb="FFD0D7E5"/>
      </bottom>
      <diagonal/>
    </border>
    <border>
      <left style="medium">
        <color rgb="FF1F3864"/>
      </left>
      <right style="thin">
        <color rgb="FFD0D7E5"/>
      </right>
      <top style="medium">
        <color rgb="FF1F3864"/>
      </top>
      <bottom style="medium">
        <color rgb="FF1F3864"/>
      </bottom>
      <diagonal/>
    </border>
    <border>
      <left style="thin">
        <color rgb="FFD0D7E5"/>
      </left>
      <right style="thin">
        <color rgb="FFD0D7E5"/>
      </right>
      <top style="medium">
        <color rgb="FF1F3864"/>
      </top>
      <bottom style="medium">
        <color rgb="FF1F3864"/>
      </bottom>
      <diagonal/>
    </border>
    <border>
      <left style="thin">
        <color rgb="FFD0D7E5"/>
      </left>
      <right style="medium">
        <color rgb="FF1F3864"/>
      </right>
      <top style="medium">
        <color rgb="FF1F3864"/>
      </top>
      <bottom style="medium">
        <color rgb="FF1F3864"/>
      </bottom>
      <diagonal/>
    </border>
    <border>
      <left style="medium">
        <color rgb="FF1F3864"/>
      </left>
      <right style="thin">
        <color rgb="FFD0D7E5"/>
      </right>
      <top style="thin">
        <color rgb="FFD0D7E5"/>
      </top>
      <bottom style="medium">
        <color rgb="FF1F3864"/>
      </bottom>
      <diagonal/>
    </border>
    <border>
      <left style="thin">
        <color rgb="FFD0D7E5"/>
      </left>
      <right style="thin">
        <color rgb="FFD0D7E5"/>
      </right>
      <top style="thin">
        <color rgb="FFD0D7E5"/>
      </top>
      <bottom style="medium">
        <color rgb="FF1F3864"/>
      </bottom>
      <diagonal/>
    </border>
    <border>
      <left style="thin">
        <color rgb="FFD0D7E5"/>
      </left>
      <right style="medium">
        <color rgb="FF1F3864"/>
      </right>
      <top style="thin">
        <color rgb="FFD0D7E5"/>
      </top>
      <bottom style="medium">
        <color rgb="FF1F3864"/>
      </bottom>
      <diagonal/>
    </border>
    <border>
      <left style="thin">
        <color rgb="FFD0D7E5"/>
      </left>
      <right/>
      <top style="medium">
        <color rgb="FF1F3864"/>
      </top>
      <bottom style="medium">
        <color rgb="FF1F3864"/>
      </bottom>
      <diagonal/>
    </border>
    <border>
      <left style="thin">
        <color rgb="FFD0D7E5"/>
      </left>
      <right/>
      <top style="thin">
        <color rgb="FFD0D7E5"/>
      </top>
      <bottom style="thin">
        <color rgb="FFD0D7E5"/>
      </bottom>
      <diagonal/>
    </border>
    <border>
      <left style="thin">
        <color rgb="FFD0D7E5"/>
      </left>
      <right/>
      <top style="thin">
        <color rgb="FFD0D7E5"/>
      </top>
      <bottom style="medium">
        <color rgb="FF1F3864"/>
      </bottom>
      <diagonal/>
    </border>
  </borders>
  <cellStyleXfs count="3">
    <xf numFmtId="0" fontId="2" fillId="0" borderId="0"/>
    <xf numFmtId="0" fontId="1" fillId="0" borderId="0"/>
    <xf numFmtId="9" fontId="2" fillId="0" borderId="0"/>
  </cellStyleXfs>
  <cellXfs count="41">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center" vertical="center"/>
    </xf>
    <xf numFmtId="164" fontId="3" fillId="2" borderId="1" applyAlignment="1" pivotButton="0" quotePrefix="0" xfId="0">
      <alignment horizontal="center" vertical="center"/>
    </xf>
    <xf numFmtId="164" fontId="3" fillId="3" borderId="1" applyAlignment="1" pivotButton="0" quotePrefix="0" xfId="0">
      <alignment horizontal="center" vertical="center"/>
    </xf>
    <xf numFmtId="0"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6" fillId="3" borderId="2" applyAlignment="1" pivotButton="0" quotePrefix="0" xfId="0">
      <alignment horizontal="center" vertical="center"/>
    </xf>
    <xf numFmtId="0" fontId="6" fillId="2" borderId="2" applyAlignment="1" pivotButton="0" quotePrefix="0" xfId="0">
      <alignment horizontal="center" vertical="center"/>
    </xf>
    <xf numFmtId="0" fontId="5" fillId="3" borderId="1" applyAlignment="1" pivotButton="0" quotePrefix="0" xfId="0">
      <alignment horizontal="left" vertical="center" wrapText="1"/>
    </xf>
    <xf numFmtId="0" fontId="5" fillId="2" borderId="1" applyAlignment="1" pivotButton="0" quotePrefix="0" xfId="0">
      <alignment horizontal="left" vertical="center" wrapText="1"/>
    </xf>
    <xf numFmtId="165" fontId="3" fillId="3" borderId="1" applyAlignment="1" pivotButton="0" quotePrefix="0" xfId="0">
      <alignment horizontal="center" vertical="center"/>
    </xf>
    <xf numFmtId="165" fontId="3" fillId="2" borderId="1" applyAlignment="1" pivotButton="0" quotePrefix="0" xfId="0">
      <alignment horizontal="center" vertical="center"/>
    </xf>
    <xf numFmtId="9" fontId="3" fillId="2" borderId="1" applyAlignment="1" pivotButton="0" quotePrefix="0" xfId="0">
      <alignment horizontal="center" vertical="center"/>
    </xf>
    <xf numFmtId="9" fontId="3" fillId="3" borderId="1" applyAlignment="1" pivotButton="0" quotePrefix="0" xfId="0">
      <alignment horizontal="center" vertical="center"/>
    </xf>
    <xf numFmtId="0" fontId="6" fillId="2" borderId="9" applyAlignment="1" pivotButton="0" quotePrefix="0" xfId="0">
      <alignment horizontal="center" vertical="center"/>
    </xf>
    <xf numFmtId="165" fontId="3" fillId="2" borderId="10" applyAlignment="1" pivotButton="0" quotePrefix="0" xfId="0">
      <alignment horizontal="center" vertical="center"/>
    </xf>
    <xf numFmtId="9" fontId="3" fillId="2" borderId="10" applyAlignment="1" pivotButton="0" quotePrefix="0" xfId="0">
      <alignment horizontal="center" vertical="center"/>
    </xf>
    <xf numFmtId="0" fontId="5" fillId="2" borderId="10" applyAlignment="1" pivotButton="0" quotePrefix="0" xfId="0">
      <alignment horizontal="left" vertical="center" wrapText="1"/>
    </xf>
    <xf numFmtId="9" fontId="3" fillId="3" borderId="1" applyAlignment="1" pivotButton="0" quotePrefix="0" xfId="2">
      <alignment horizontal="center" vertical="center"/>
    </xf>
    <xf numFmtId="9" fontId="3" fillId="2" borderId="1" applyAlignment="1" pivotButton="0" quotePrefix="0" xfId="2">
      <alignment horizontal="center" vertical="center"/>
    </xf>
    <xf numFmtId="164" fontId="3" fillId="2" borderId="10" applyAlignment="1" pivotButton="0" quotePrefix="0" xfId="0">
      <alignment horizontal="center" vertical="center"/>
    </xf>
    <xf numFmtId="0" fontId="3" fillId="3" borderId="1" applyAlignment="1" pivotButton="0" quotePrefix="0" xfId="0">
      <alignment horizontal="center" vertical="center"/>
    </xf>
    <xf numFmtId="0" fontId="3" fillId="2" borderId="1" applyAlignment="1" pivotButton="0" quotePrefix="0" xfId="0">
      <alignment horizontal="center" vertical="center"/>
    </xf>
    <xf numFmtId="0" fontId="3" fillId="2" borderId="10" applyAlignment="1" pivotButton="0" quotePrefix="0" xfId="0">
      <alignment horizontal="center" vertical="center"/>
    </xf>
    <xf numFmtId="0" fontId="4" fillId="4" borderId="12" applyAlignment="1" pivotButton="0" quotePrefix="0" xfId="0">
      <alignment horizontal="center" vertical="center" wrapText="1"/>
    </xf>
    <xf numFmtId="164" fontId="3" fillId="3" borderId="13" applyAlignment="1" pivotButton="0" quotePrefix="0" xfId="0">
      <alignment horizontal="center" vertical="center"/>
    </xf>
    <xf numFmtId="164" fontId="3" fillId="2" borderId="13" applyAlignment="1" pivotButton="0" quotePrefix="0" xfId="0">
      <alignment horizontal="center" vertical="center"/>
    </xf>
    <xf numFmtId="164" fontId="3" fillId="2" borderId="14" applyAlignment="1" pivotButton="0" quotePrefix="0" xfId="0">
      <alignment horizontal="center" vertical="center"/>
    </xf>
    <xf numFmtId="0" fontId="3" fillId="2" borderId="2" applyAlignment="1" pivotButton="0" quotePrefix="0" xfId="0">
      <alignment horizontal="center" vertical="center"/>
    </xf>
    <xf numFmtId="0" fontId="3" fillId="3" borderId="2" applyAlignment="1" pivotButton="0" quotePrefix="0" xfId="0">
      <alignment horizontal="center" vertical="center"/>
    </xf>
    <xf numFmtId="0" fontId="3" fillId="2" borderId="9" applyAlignment="1" pivotButton="0" quotePrefix="0" xfId="0">
      <alignment horizontal="center" vertical="center"/>
    </xf>
    <xf numFmtId="0" fontId="3" fillId="2" borderId="3" applyAlignment="1" pivotButton="0" quotePrefix="0" xfId="0">
      <alignment horizontal="left" vertical="center"/>
    </xf>
    <xf numFmtId="0" fontId="3" fillId="3" borderId="3" applyAlignment="1" pivotButton="0" quotePrefix="0" xfId="0">
      <alignment horizontal="left" vertical="center"/>
    </xf>
    <xf numFmtId="0" fontId="3" fillId="2" borderId="11" applyAlignment="1" pivotButton="0" quotePrefix="0" xfId="0">
      <alignment horizontal="left" vertical="center"/>
    </xf>
    <xf numFmtId="0" fontId="3" fillId="2" borderId="4" applyAlignment="1" pivotButton="0" quotePrefix="0" xfId="0">
      <alignment horizontal="center" vertical="center"/>
    </xf>
    <xf numFmtId="0" fontId="3" fillId="2" borderId="5" applyAlignment="1" pivotButton="0" quotePrefix="0" xfId="0">
      <alignment horizontal="left" vertical="center"/>
    </xf>
    <xf numFmtId="0" fontId="7" fillId="4" borderId="6" applyAlignment="1" pivotButton="0" quotePrefix="0" xfId="0">
      <alignment horizontal="center" vertical="center" wrapText="1"/>
    </xf>
    <xf numFmtId="0" fontId="7" fillId="4" borderId="8" applyAlignment="1" pivotButton="0" quotePrefix="0" xfId="0">
      <alignment horizontal="center" vertical="center" wrapText="1"/>
    </xf>
    <xf numFmtId="166" fontId="3" fillId="3" borderId="1" applyAlignment="1" pivotButton="0" quotePrefix="0" xfId="0">
      <alignment horizontal="center" vertical="center"/>
    </xf>
    <xf numFmtId="166" fontId="3" fillId="2" borderId="1" applyAlignment="1" pivotButton="0" quotePrefix="0" xfId="0">
      <alignment horizontal="center" vertical="center"/>
    </xf>
  </cellXfs>
  <cellStyles count="3">
    <cellStyle name="Обычный" xfId="0" builtinId="0"/>
    <cellStyle name="Обычный 5" xfId="1"/>
    <cellStyle name="Процентный"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3:P66"/>
  <sheetViews>
    <sheetView tabSelected="1" zoomScale="70" zoomScaleNormal="70" workbookViewId="0">
      <pane ySplit="3" topLeftCell="A4" activePane="bottomLeft" state="frozen"/>
      <selection activeCell="B1" sqref="B1"/>
      <selection pane="bottomLeft" activeCell="P69" sqref="P69"/>
    </sheetView>
  </sheetViews>
  <sheetFormatPr baseColWidth="8" defaultColWidth="8.90625" defaultRowHeight="14.5"/>
  <cols>
    <col width="7.26953125" customWidth="1" style="1" min="1" max="1"/>
    <col width="23.6328125" customWidth="1" style="1" min="2" max="2"/>
    <col width="12.7265625" customWidth="1" style="1" min="3" max="3"/>
    <col width="40.7265625" bestFit="1" customWidth="1" style="1" min="4" max="4"/>
    <col width="21.81640625" customWidth="1" style="1" min="5" max="6"/>
    <col width="61.81640625" customWidth="1" style="1" min="7" max="7"/>
    <col width="21.81640625" customWidth="1" style="1" min="8" max="11"/>
    <col width="14.54296875" customWidth="1" style="1" min="12" max="12"/>
    <col width="16.36328125" customWidth="1" style="2" min="13" max="14"/>
    <col width="21.81640625" customWidth="1" min="15" max="15"/>
    <col width="47.26953125" customWidth="1" min="16" max="16"/>
  </cols>
  <sheetData>
    <row r="2" ht="15" customHeight="1" thickBot="1"/>
    <row r="3" ht="40" customHeight="1" thickBot="1">
      <c r="A3" s="5" t="inlineStr">
        <is>
          <t>№</t>
        </is>
      </c>
      <c r="B3" s="6" t="inlineStr">
        <is>
          <t>Месторождение</t>
        </is>
      </c>
      <c r="C3" s="6" t="inlineStr">
        <is>
          <t>Скважина</t>
        </is>
      </c>
      <c r="D3" s="6" t="inlineStr">
        <is>
          <t>Тип аномалии</t>
        </is>
      </c>
      <c r="E3" s="6" t="inlineStr">
        <is>
          <t>Дата начала выгрузки</t>
        </is>
      </c>
      <c r="F3" s="6" t="inlineStr">
        <is>
          <t>Дата конца выгрузки</t>
        </is>
      </c>
      <c r="G3" s="6" t="inlineStr">
        <is>
          <t>Комментарий</t>
        </is>
      </c>
      <c r="H3" s="6" t="inlineStr">
        <is>
          <t>Дата начала аномалии</t>
        </is>
      </c>
      <c r="I3" s="6" t="inlineStr">
        <is>
          <t>Дата конца аномалии</t>
        </is>
      </c>
      <c r="J3" s="6" t="inlineStr">
        <is>
          <t>Дата начала аномалии</t>
        </is>
      </c>
      <c r="K3" s="6" t="inlineStr">
        <is>
          <t>Дата конца аномалии</t>
        </is>
      </c>
      <c r="L3" s="6" t="inlineStr">
        <is>
          <t>% аномалии от общей выгрузки</t>
        </is>
      </c>
      <c r="M3" s="6" t="inlineStr">
        <is>
          <t>Время аномалии</t>
        </is>
      </c>
      <c r="N3" s="25" t="inlineStr">
        <is>
          <t>Общее время выгрузки</t>
        </is>
      </c>
      <c r="O3" s="37" t="inlineStr">
        <is>
          <t>Источник данных</t>
        </is>
      </c>
      <c r="P3" s="38" t="inlineStr">
        <is>
          <t>Файл скважины</t>
        </is>
      </c>
    </row>
    <row r="4" ht="104" customHeight="1">
      <c r="A4" s="7" t="n">
        <v>1</v>
      </c>
      <c r="B4" s="22" t="inlineStr">
        <is>
          <t>Кустовое</t>
        </is>
      </c>
      <c r="C4" s="22" t="n">
        <v>3245</v>
      </c>
      <c r="D4" s="22" t="inlineStr">
        <is>
          <t>Соли</t>
        </is>
      </c>
      <c r="E4" s="39" t="n">
        <v>45689.00023148148</v>
      </c>
      <c r="F4" s="11" t="n">
        <v>45789.08333333334</v>
      </c>
      <c r="G4" s="9" t="inlineStr">
        <is>
          <t>С 22.03.2025 наблюдается снижение давления на приеме без изменения частоты, что предположительно обусловлено снижением пластового давления. После этого 14.04.2025 снижение давления на приеме остановилось и тренд развернулся на рост давления на приеме, что свидетельствует о начале ухудшения работы ГНО. 18.04.2025 произошло резкое незначительное падение давления на приеме в момент увеличения выходной частоты. Такое мгновенное снижение давления на приеме вместе с увеличеничем выходной частоты - нормальное явление. Далее 22.04.2025 повторно увеличение выходной частоты привело к резкому снижению давления на приеме (нормально). После этого 24.04.2025 началось интенсивное отложение солей и рост давления на приеме до конца выгрузки</t>
        </is>
      </c>
      <c r="H4" s="11" t="n">
        <v>45761.69722222222</v>
      </c>
      <c r="I4" s="11" t="n">
        <v>45789.08333333334</v>
      </c>
      <c r="J4" s="11" t="n"/>
      <c r="K4" s="11" t="n"/>
      <c r="L4" s="19">
        <f>M4/N4</f>
        <v/>
      </c>
      <c r="M4" s="4">
        <f>I4-H4</f>
        <v/>
      </c>
      <c r="N4" s="26">
        <f>F4-E4</f>
        <v/>
      </c>
      <c r="O4" s="35" t="inlineStr">
        <is>
          <t>база</t>
        </is>
      </c>
      <c r="P4" s="36" t="inlineStr">
        <is>
          <t>3245_Кустовое_Соли.xlsx</t>
        </is>
      </c>
    </row>
    <row r="5" ht="156" customHeight="1">
      <c r="A5" s="8" t="n">
        <v>2</v>
      </c>
      <c r="B5" s="23" t="inlineStr">
        <is>
          <t>Дружное</t>
        </is>
      </c>
      <c r="C5" s="23" t="n">
        <v>4039</v>
      </c>
      <c r="D5" s="23" t="inlineStr">
        <is>
          <t>Соли</t>
        </is>
      </c>
      <c r="E5" s="12" t="n">
        <v>45748.08333333334</v>
      </c>
      <c r="F5" s="12" t="n">
        <v>45931.08333333334</v>
      </c>
      <c r="G5" s="10" t="inlineStr">
        <is>
          <t>29.05.2025 наблюдается начало восходящего тренда давления на приеме. Средняя выходная частота при этом также в последнее время увеличивалась и достигла максимальных значений. При этом давление на приеме продолжало идти в рост</t>
        </is>
      </c>
      <c r="H5" s="12" t="n">
        <v>45806.375</v>
      </c>
      <c r="I5" s="12" t="n">
        <v>45815.63194444445</v>
      </c>
      <c r="J5" s="12" t="n"/>
      <c r="K5" s="12" t="n"/>
      <c r="L5" s="20">
        <f>M5/N5</f>
        <v/>
      </c>
      <c r="M5" s="3">
        <f>I5-H5</f>
        <v/>
      </c>
      <c r="N5" s="27">
        <f>F5-E5</f>
        <v/>
      </c>
      <c r="O5" s="30" t="inlineStr">
        <is>
          <t>база</t>
        </is>
      </c>
      <c r="P5" s="33" t="inlineStr">
        <is>
          <t>4039_Дружное_Соли.xlsx</t>
        </is>
      </c>
    </row>
    <row r="6" ht="39" customHeight="1">
      <c r="A6" s="7" t="n">
        <v>3</v>
      </c>
      <c r="B6" s="22" t="inlineStr">
        <is>
          <t>Дружное</t>
        </is>
      </c>
      <c r="C6" s="22" t="n">
        <v>408</v>
      </c>
      <c r="D6" s="22" t="inlineStr">
        <is>
          <t>Соли</t>
        </is>
      </c>
      <c r="E6" s="11" t="n">
        <v>45748.08333333334</v>
      </c>
      <c r="F6" s="11" t="n">
        <v>45900.08333333334</v>
      </c>
      <c r="G6" s="9" t="inlineStr">
        <is>
          <t>02.06.2025 наблюдается начало восходящего тренда давления на приеме до 26.06.2025. 01.07.2025 провели обработку от солей. Давление на приеме начало снижаться. Однако, с 09.07.2025 тренд вновь начал идти вверх, а с 03.08.2025 еще более интенсивнее до 23.08.2025, когда повторно провели обработку от солей. В данном кейсе рассмотрены 2 аномалии по солям</t>
        </is>
      </c>
      <c r="H6" s="11" t="n">
        <v>45810.11111111111</v>
      </c>
      <c r="I6" s="11" t="n">
        <v>45834.47222222222</v>
      </c>
      <c r="J6" s="11" t="n">
        <v>45860.79166666666</v>
      </c>
      <c r="K6" s="11" t="n">
        <v>45892.61388888889</v>
      </c>
      <c r="L6" s="19">
        <f>M6/N6</f>
        <v/>
      </c>
      <c r="M6" s="4">
        <f>I6-H6</f>
        <v/>
      </c>
      <c r="N6" s="26">
        <f>F6-E6</f>
        <v/>
      </c>
      <c r="O6" s="29" t="inlineStr">
        <is>
          <t>база</t>
        </is>
      </c>
      <c r="P6" s="32" t="inlineStr">
        <is>
          <t>408_Дружное_Соли.xlsx</t>
        </is>
      </c>
    </row>
    <row r="7" ht="78" customHeight="1">
      <c r="A7" s="8" t="n">
        <v>4</v>
      </c>
      <c r="B7" s="23" t="inlineStr">
        <is>
          <t>Кустовое</t>
        </is>
      </c>
      <c r="C7" s="23" t="inlineStr">
        <is>
          <t>3245(2)</t>
        </is>
      </c>
      <c r="D7" s="23" t="inlineStr">
        <is>
          <t>Соли</t>
        </is>
      </c>
      <c r="E7" s="12" t="n">
        <v>45870.08333333334</v>
      </c>
      <c r="F7" s="12" t="n">
        <v>45968.08333333334</v>
      </c>
      <c r="G7" s="10" t="inlineStr">
        <is>
          <t>13.09.2025 начался рост давления на приеме, что свидетельствует об ухудшение работы ГНО, предположительно соли. Далее 16.09.2025 происходит резкое снижение давления на приеме, обусловленное увеличение выходной частоты. Далее с 05.10.2025 наблюдается повторный рост давления на приеме, что опять свидетельствует об ухудшение работы ГНО, предположительно соли. 17.10.2025 происходит резкое снижение давления на приеме вновь вызванное увеличением выходной частоты. Далее сразу плавный трендовый рост давления на приеме и активное образование солей до конца выгрузки.</t>
        </is>
      </c>
      <c r="H7" s="12" t="n">
        <v>45934.08333333334</v>
      </c>
      <c r="I7" s="12" t="n">
        <v>45968.08333333334</v>
      </c>
      <c r="J7" s="12" t="n"/>
      <c r="K7" s="12" t="n"/>
      <c r="L7" s="20">
        <f>M7/N7</f>
        <v/>
      </c>
      <c r="M7" s="3">
        <f>I7-H7</f>
        <v/>
      </c>
      <c r="N7" s="27">
        <f>F7-E7</f>
        <v/>
      </c>
      <c r="O7" s="30" t="inlineStr">
        <is>
          <t>база</t>
        </is>
      </c>
      <c r="P7" s="33" t="inlineStr">
        <is>
          <t>3245(2)_Кустовое_Соли.xlsx</t>
        </is>
      </c>
    </row>
    <row r="8" ht="52" customHeight="1">
      <c r="A8" s="8" t="n">
        <v>5</v>
      </c>
      <c r="B8" s="23" t="inlineStr">
        <is>
          <t>Кустовое</t>
        </is>
      </c>
      <c r="C8" s="23" t="inlineStr">
        <is>
          <t>1123л</t>
        </is>
      </c>
      <c r="D8" s="23" t="inlineStr">
        <is>
          <t>Негерметичность НКТ</t>
        </is>
      </c>
      <c r="E8" s="12" t="n">
        <v>45828.08333333334</v>
      </c>
      <c r="F8" s="12" t="n">
        <v>45830.08333333334</v>
      </c>
      <c r="G8" s="10" t="n"/>
      <c r="H8" s="12" t="n">
        <v>45829.35555555556</v>
      </c>
      <c r="I8" s="12" t="n">
        <v>45829.9875</v>
      </c>
      <c r="J8" s="12" t="n"/>
      <c r="K8" s="12" t="n"/>
      <c r="L8" s="20">
        <f>M8/N8</f>
        <v/>
      </c>
      <c r="M8" s="3">
        <f>I8-H8</f>
        <v/>
      </c>
      <c r="N8" s="27">
        <f>F8-E8</f>
        <v/>
      </c>
      <c r="O8" s="29" t="inlineStr">
        <is>
          <t>база</t>
        </is>
      </c>
      <c r="P8" s="32" t="inlineStr">
        <is>
          <t>1123л_Кустовое_ННКТ.xlsx</t>
        </is>
      </c>
    </row>
    <row r="9" ht="78" customHeight="1">
      <c r="A9" s="7" t="n">
        <v>6</v>
      </c>
      <c r="B9" s="22" t="inlineStr">
        <is>
          <t>Яркое</t>
        </is>
      </c>
      <c r="C9" s="22" t="inlineStr">
        <is>
          <t>172г</t>
        </is>
      </c>
      <c r="D9" s="22" t="inlineStr">
        <is>
          <t>Негерметичность НКТ</t>
        </is>
      </c>
      <c r="E9" s="11" t="n">
        <v>45775.08333333334</v>
      </c>
      <c r="F9" s="11" t="n">
        <v>45784.08333333334</v>
      </c>
      <c r="G9" s="9" t="n"/>
      <c r="H9" s="11" t="n">
        <v>45780.47916666666</v>
      </c>
      <c r="I9" s="11" t="n">
        <v>45784.08333333334</v>
      </c>
      <c r="J9" s="11" t="n"/>
      <c r="K9" s="11" t="n"/>
      <c r="L9" s="19">
        <f>M9/N9</f>
        <v/>
      </c>
      <c r="M9" s="4">
        <f>I9-H9</f>
        <v/>
      </c>
      <c r="N9" s="26">
        <f>F9-E9</f>
        <v/>
      </c>
      <c r="O9" s="30" t="inlineStr">
        <is>
          <t>база</t>
        </is>
      </c>
      <c r="P9" s="33" t="inlineStr">
        <is>
          <t>172г_Яркое_ННКТ.xlsx</t>
        </is>
      </c>
    </row>
    <row r="10" ht="117" customHeight="1">
      <c r="A10" s="7" t="n">
        <v>7</v>
      </c>
      <c r="B10" s="22" t="inlineStr">
        <is>
          <t>Южно-Ягунское</t>
        </is>
      </c>
      <c r="C10" s="22" t="n">
        <v>495</v>
      </c>
      <c r="D10" s="22" t="inlineStr">
        <is>
          <t>Приток</t>
        </is>
      </c>
      <c r="E10" s="11" t="n">
        <v>45922.08333333334</v>
      </c>
      <c r="F10" s="11" t="n">
        <v>45947.08333333334</v>
      </c>
      <c r="G10" s="9" t="n"/>
      <c r="H10" s="11" t="n">
        <v>45938</v>
      </c>
      <c r="I10" s="11" t="n">
        <v>45947.08333333334</v>
      </c>
      <c r="J10" s="11" t="n"/>
      <c r="K10" s="11" t="n"/>
      <c r="L10" s="19">
        <f>M10/N10</f>
        <v/>
      </c>
      <c r="M10" s="4">
        <f>I10-H10</f>
        <v/>
      </c>
      <c r="N10" s="26">
        <f>F10-E10</f>
        <v/>
      </c>
      <c r="O10" s="29" t="inlineStr">
        <is>
          <t>база</t>
        </is>
      </c>
      <c r="P10" s="32" t="inlineStr">
        <is>
          <t>495_Южно-Ягунская_Приток.xlsx</t>
        </is>
      </c>
    </row>
    <row r="11">
      <c r="A11" s="8" t="n">
        <v>8</v>
      </c>
      <c r="B11" s="23" t="inlineStr">
        <is>
          <t>Южно-Ягунское</t>
        </is>
      </c>
      <c r="C11" s="23" t="n">
        <v>902</v>
      </c>
      <c r="D11" s="23" t="inlineStr">
        <is>
          <t>Приток</t>
        </is>
      </c>
      <c r="E11" s="12" t="n">
        <v>45945.08333333334</v>
      </c>
      <c r="F11" s="12" t="n">
        <v>45976.08333333334</v>
      </c>
      <c r="G11" s="10" t="n"/>
      <c r="H11" s="12" t="n">
        <v>45952</v>
      </c>
      <c r="I11" s="12" t="n">
        <v>45976.08333333334</v>
      </c>
      <c r="J11" s="12" t="n"/>
      <c r="K11" s="12" t="n"/>
      <c r="L11" s="20">
        <f>M11/N11</f>
        <v/>
      </c>
      <c r="M11" s="3">
        <f>I11-H11</f>
        <v/>
      </c>
      <c r="N11" s="27">
        <f>F11-E11</f>
        <v/>
      </c>
      <c r="O11" s="30" t="inlineStr">
        <is>
          <t>база</t>
        </is>
      </c>
      <c r="P11" s="33" t="inlineStr">
        <is>
          <t>902_ЮЯ_Приток.xlsx</t>
        </is>
      </c>
    </row>
    <row r="12">
      <c r="A12" s="7" t="n">
        <v>9</v>
      </c>
      <c r="B12" s="22" t="inlineStr">
        <is>
          <t>Кустовое</t>
        </is>
      </c>
      <c r="C12" s="22" t="inlineStr">
        <is>
          <t>2991г</t>
        </is>
      </c>
      <c r="D12" s="22" t="inlineStr">
        <is>
          <t>Соли</t>
        </is>
      </c>
      <c r="E12" s="11" t="n">
        <v>45988.08333333334</v>
      </c>
      <c r="F12" s="11" t="n">
        <v>46015.08333333334</v>
      </c>
      <c r="G12" s="9" t="n"/>
      <c r="H12" s="11" t="n">
        <v>46002.16666666666</v>
      </c>
      <c r="I12" s="11" t="n">
        <v>46015.08333333334</v>
      </c>
      <c r="J12" s="11" t="n"/>
      <c r="K12" s="11" t="n"/>
      <c r="L12" s="19">
        <f>M12/N12</f>
        <v/>
      </c>
      <c r="M12" s="4">
        <f>I12-H12</f>
        <v/>
      </c>
      <c r="N12" s="26">
        <f>F12-E12</f>
        <v/>
      </c>
      <c r="O12" s="29" t="inlineStr">
        <is>
          <t>база</t>
        </is>
      </c>
      <c r="P12" s="32" t="inlineStr">
        <is>
          <t>2991г_Соли.xlsx</t>
        </is>
      </c>
    </row>
    <row r="13">
      <c r="A13" s="7" t="n">
        <v>10</v>
      </c>
      <c r="B13" s="22" t="inlineStr">
        <is>
          <t>Кустовое</t>
        </is>
      </c>
      <c r="C13" s="22" t="n">
        <v>3245</v>
      </c>
      <c r="D13" s="22" t="inlineStr">
        <is>
          <t>Приток</t>
        </is>
      </c>
      <c r="E13" s="11" t="n">
        <v>46067</v>
      </c>
      <c r="F13" s="11" t="n">
        <v>46095</v>
      </c>
      <c r="G13" s="9" t="n"/>
      <c r="H13" s="11" t="n">
        <v>46084.96646990741</v>
      </c>
      <c r="I13" s="11" t="n">
        <v>46095</v>
      </c>
      <c r="J13" s="11" t="n"/>
      <c r="K13" s="11" t="n"/>
      <c r="L13" s="19">
        <f>M13/N13</f>
        <v/>
      </c>
      <c r="M13" s="4">
        <f>I13-H13</f>
        <v/>
      </c>
      <c r="N13" s="26">
        <f>F13-E13</f>
        <v/>
      </c>
      <c r="O13" s="30" t="inlineStr">
        <is>
          <t>база</t>
        </is>
      </c>
      <c r="P13" s="33" t="inlineStr">
        <is>
          <t>3245.xlsx</t>
        </is>
      </c>
    </row>
    <row r="14">
      <c r="A14" s="8" t="n">
        <v>11</v>
      </c>
      <c r="B14" s="23" t="inlineStr">
        <is>
          <t>Южно-Ягунское</t>
        </is>
      </c>
      <c r="C14" s="23" t="n">
        <v>602</v>
      </c>
      <c r="D14" s="23" t="inlineStr">
        <is>
          <t>Приток</t>
        </is>
      </c>
      <c r="E14" s="12" t="n">
        <v>46004</v>
      </c>
      <c r="F14" s="12" t="n">
        <v>46094</v>
      </c>
      <c r="G14" s="10" t="n"/>
      <c r="H14" s="12" t="n">
        <v>46047.04059027778</v>
      </c>
      <c r="I14" s="12" t="n">
        <v>46068</v>
      </c>
      <c r="J14" s="12" t="n">
        <v>46073.5734375</v>
      </c>
      <c r="K14" s="12" t="n">
        <v>46094</v>
      </c>
      <c r="L14" s="20">
        <f>M14/N14</f>
        <v/>
      </c>
      <c r="M14" s="3">
        <f>I14-H14</f>
        <v/>
      </c>
      <c r="N14" s="27">
        <f>F14-E14</f>
        <v/>
      </c>
      <c r="O14" s="29" t="inlineStr">
        <is>
          <t>база</t>
        </is>
      </c>
      <c r="P14" s="32" t="inlineStr">
        <is>
          <t>602_Приток.xlsx</t>
        </is>
      </c>
    </row>
    <row r="15">
      <c r="A15" s="7" t="n">
        <v>12</v>
      </c>
      <c r="B15" s="22" t="inlineStr">
        <is>
          <t>Кустовое</t>
        </is>
      </c>
      <c r="C15" s="22" t="n">
        <v>122</v>
      </c>
      <c r="D15" s="22" t="inlineStr">
        <is>
          <t>Приток</t>
        </is>
      </c>
      <c r="E15" s="11" t="n">
        <v>46073</v>
      </c>
      <c r="F15" s="11" t="n">
        <v>46112</v>
      </c>
      <c r="G15" s="9" t="n"/>
      <c r="H15" s="11" t="n">
        <v>46094.7497337963</v>
      </c>
      <c r="I15" s="11" t="n">
        <v>46112</v>
      </c>
      <c r="J15" s="11" t="n"/>
      <c r="K15" s="11" t="n"/>
      <c r="L15" s="14">
        <f>M15/N15</f>
        <v/>
      </c>
      <c r="M15" s="4">
        <f>I15-H15</f>
        <v/>
      </c>
      <c r="N15" s="26">
        <f>F15-E15</f>
        <v/>
      </c>
      <c r="O15" s="30" t="inlineStr">
        <is>
          <t>база</t>
        </is>
      </c>
      <c r="P15" s="33" t="inlineStr">
        <is>
          <t>122_Кус_Приток.xlsx</t>
        </is>
      </c>
    </row>
    <row r="16" ht="26" customHeight="1">
      <c r="A16" s="7" t="n">
        <v>13</v>
      </c>
      <c r="B16" s="22" t="inlineStr">
        <is>
          <t>Восточно-Икилорское</t>
        </is>
      </c>
      <c r="C16" s="22" t="inlineStr">
        <is>
          <t>305г</t>
        </is>
      </c>
      <c r="D16" s="22" t="inlineStr">
        <is>
          <t>Нормальное поведение (изменение частоты)</t>
        </is>
      </c>
      <c r="E16" s="11" t="n">
        <v>46120</v>
      </c>
      <c r="F16" s="11" t="n">
        <v>46131</v>
      </c>
      <c r="G16" s="9" t="inlineStr">
        <is>
          <t>После снижения частоты небольшой рост давления на приеме и снижение токовых нагрузок. Это нормальное поведение. Нет аномалий</t>
        </is>
      </c>
      <c r="H16" s="11" t="n"/>
      <c r="I16" s="11" t="n"/>
      <c r="J16" s="11" t="n"/>
      <c r="K16" s="11" t="n"/>
      <c r="L16" s="14">
        <f>M16/N16</f>
        <v/>
      </c>
      <c r="M16" s="4">
        <f>I16-H16</f>
        <v/>
      </c>
      <c r="N16" s="26">
        <f>F16-E16</f>
        <v/>
      </c>
      <c r="O16" s="29" t="inlineStr">
        <is>
          <t>база</t>
        </is>
      </c>
      <c r="P16" s="32" t="inlineStr">
        <is>
          <t>305г_ВИК_Изменение_частоты_Нормальная.xlsx</t>
        </is>
      </c>
    </row>
    <row r="17" ht="26" customHeight="1">
      <c r="A17" s="8" t="n">
        <v>14</v>
      </c>
      <c r="B17" s="23" t="inlineStr">
        <is>
          <t>Южно-Ягунское</t>
        </is>
      </c>
      <c r="C17" s="23" t="inlineStr">
        <is>
          <t>1996л</t>
        </is>
      </c>
      <c r="D17" s="23" t="inlineStr">
        <is>
          <t>Нормальное поведение (изменение частоты)</t>
        </is>
      </c>
      <c r="E17" s="12" t="n">
        <v>46098</v>
      </c>
      <c r="F17" s="12" t="n">
        <v>46130</v>
      </c>
      <c r="G17" s="10" t="inlineStr">
        <is>
          <t>После увеличения частоты небольшое снижение давления на приеме и рост токовых нагрузок. Это нормальное поведение. Нет аномалий</t>
        </is>
      </c>
      <c r="H17" s="12" t="n"/>
      <c r="I17" s="12" t="n"/>
      <c r="J17" s="12" t="n"/>
      <c r="K17" s="12" t="n"/>
      <c r="L17" s="13">
        <f>M17/N17</f>
        <v/>
      </c>
      <c r="M17" s="3">
        <f>I17-H17</f>
        <v/>
      </c>
      <c r="N17" s="27">
        <f>F17-E17</f>
        <v/>
      </c>
      <c r="O17" s="30" t="inlineStr">
        <is>
          <t>база</t>
        </is>
      </c>
      <c r="P17" s="33" t="inlineStr">
        <is>
          <t>1996л_ЮЯ_Изменение_частоты_Нормальная.xlsx</t>
        </is>
      </c>
    </row>
    <row r="18" ht="26" customHeight="1">
      <c r="A18" s="7" t="n">
        <v>15</v>
      </c>
      <c r="B18" s="22" t="inlineStr">
        <is>
          <t>Южно-Ягунское</t>
        </is>
      </c>
      <c r="C18" s="22" t="n">
        <v>1995</v>
      </c>
      <c r="D18" s="22" t="inlineStr">
        <is>
          <t>Нормальное поведение (изменение частоты)</t>
        </is>
      </c>
      <c r="E18" s="11" t="n">
        <v>46095</v>
      </c>
      <c r="F18" s="11" t="n">
        <v>46143</v>
      </c>
      <c r="G18" s="9" t="inlineStr">
        <is>
          <t>После увеличения частоты небольшое снижение давления на приеме и рост токовых нагрузок. Это нормальное поведение. Нет аномалий</t>
        </is>
      </c>
      <c r="H18" s="11" t="n"/>
      <c r="I18" s="11" t="n"/>
      <c r="J18" s="11" t="n"/>
      <c r="K18" s="11" t="n"/>
      <c r="L18" s="14">
        <f>M18/N18</f>
        <v/>
      </c>
      <c r="M18" s="4">
        <f>I18-H18</f>
        <v/>
      </c>
      <c r="N18" s="26">
        <f>F18-E18</f>
        <v/>
      </c>
      <c r="O18" s="29" t="inlineStr">
        <is>
          <t>база</t>
        </is>
      </c>
      <c r="P18" s="32" t="inlineStr">
        <is>
          <t>1995_ЮЯ_Изменение_частоты_Нормальная.xlsx</t>
        </is>
      </c>
    </row>
    <row r="19">
      <c r="A19" s="8" t="n">
        <v>16</v>
      </c>
      <c r="B19" s="23" t="inlineStr">
        <is>
          <t>Южно-Ягунское</t>
        </is>
      </c>
      <c r="C19" s="23" t="n">
        <v>1449</v>
      </c>
      <c r="D19" s="23" t="inlineStr">
        <is>
          <t>Приток</t>
        </is>
      </c>
      <c r="E19" s="12" t="n">
        <v>46027</v>
      </c>
      <c r="F19" s="12" t="n">
        <v>46094</v>
      </c>
      <c r="G19" s="10" t="inlineStr">
        <is>
          <t>Новая выборка — 67 дней</t>
        </is>
      </c>
      <c r="H19" s="12" t="n">
        <v>46067.50313657407</v>
      </c>
      <c r="I19" s="12" t="n">
        <v>46098</v>
      </c>
      <c r="J19" s="12" t="n"/>
      <c r="K19" s="12" t="n"/>
      <c r="L19" s="13">
        <f>M19/N19</f>
        <v/>
      </c>
      <c r="M19" s="3">
        <f>I19-H19</f>
        <v/>
      </c>
      <c r="N19" s="27">
        <f>F19-E19</f>
        <v/>
      </c>
      <c r="O19" s="30" t="inlineStr">
        <is>
          <t>новая</t>
        </is>
      </c>
      <c r="P19" s="33" t="inlineStr">
        <is>
          <t>132-1449.xlsx</t>
        </is>
      </c>
    </row>
    <row r="20">
      <c r="A20" s="7" t="n">
        <v>17</v>
      </c>
      <c r="B20" s="22" t="inlineStr">
        <is>
          <t>Южно-Ягунское</t>
        </is>
      </c>
      <c r="C20" s="22" t="inlineStr">
        <is>
          <t>4203У</t>
        </is>
      </c>
      <c r="D20" s="22" t="inlineStr">
        <is>
          <t>Приток</t>
        </is>
      </c>
      <c r="E20" s="11" t="n">
        <v>45979</v>
      </c>
      <c r="F20" s="11" t="n">
        <v>46046</v>
      </c>
      <c r="G20" s="9" t="inlineStr">
        <is>
          <t>Новая выборка — 67 дней</t>
        </is>
      </c>
      <c r="H20" s="11" t="n">
        <v>46025.68880787037</v>
      </c>
      <c r="I20" s="11" t="n">
        <v>46046</v>
      </c>
      <c r="J20" s="11" t="n"/>
      <c r="K20" s="11" t="n"/>
      <c r="L20" s="14">
        <f>M20/N20</f>
        <v/>
      </c>
      <c r="M20" s="4">
        <f>I20-H20</f>
        <v/>
      </c>
      <c r="N20" s="26">
        <f>F20-E20</f>
        <v/>
      </c>
      <c r="O20" s="29" t="inlineStr">
        <is>
          <t>новая</t>
        </is>
      </c>
      <c r="P20" s="32" t="inlineStr">
        <is>
          <t>255-4203у.xlsx</t>
        </is>
      </c>
    </row>
    <row r="21">
      <c r="A21" s="8" t="n">
        <v>18</v>
      </c>
      <c r="B21" s="23" t="inlineStr">
        <is>
          <t>Южно-Ягунское</t>
        </is>
      </c>
      <c r="C21" s="23" t="n">
        <v>1508</v>
      </c>
      <c r="D21" s="23" t="inlineStr">
        <is>
          <t>Приток</t>
        </is>
      </c>
      <c r="E21" s="12" t="n">
        <v>45921</v>
      </c>
      <c r="F21" s="12" t="n">
        <v>45988</v>
      </c>
      <c r="G21" s="10" t="inlineStr">
        <is>
          <t>Новая выборка — 67 дней</t>
        </is>
      </c>
      <c r="H21" s="12" t="n">
        <v>45977.8777662037</v>
      </c>
      <c r="I21" s="12" t="n">
        <v>45988</v>
      </c>
      <c r="J21" s="12" t="n"/>
      <c r="K21" s="12" t="n"/>
      <c r="L21" s="13">
        <f>M21/N21</f>
        <v/>
      </c>
      <c r="M21" s="3">
        <f>I21-H21</f>
        <v/>
      </c>
      <c r="N21" s="27">
        <f>F21-E21</f>
        <v/>
      </c>
      <c r="O21" s="30" t="inlineStr">
        <is>
          <t>новая</t>
        </is>
      </c>
      <c r="P21" s="33" t="inlineStr">
        <is>
          <t>133-1508.xlsx</t>
        </is>
      </c>
    </row>
    <row r="22">
      <c r="A22" s="7" t="n">
        <v>19</v>
      </c>
      <c r="B22" s="22" t="inlineStr">
        <is>
          <t>Южно-Ягунское</t>
        </is>
      </c>
      <c r="C22" s="22" t="inlineStr">
        <is>
          <t>1442Л</t>
        </is>
      </c>
      <c r="D22" s="22" t="inlineStr">
        <is>
          <t>Приток</t>
        </is>
      </c>
      <c r="E22" s="11" t="n">
        <v>46030</v>
      </c>
      <c r="F22" s="11" t="n">
        <v>46097</v>
      </c>
      <c r="G22" s="9" t="inlineStr">
        <is>
          <t>Новая выборка — 67 дней</t>
        </is>
      </c>
      <c r="H22" s="11" t="n">
        <v>46069.05798611111</v>
      </c>
      <c r="I22" s="11" t="n">
        <v>46098</v>
      </c>
      <c r="J22" s="11" t="n"/>
      <c r="K22" s="11" t="n"/>
      <c r="L22" s="14">
        <f>M22/N22</f>
        <v/>
      </c>
      <c r="M22" s="4">
        <f>I22-H22</f>
        <v/>
      </c>
      <c r="N22" s="26">
        <f>F22-E22</f>
        <v/>
      </c>
      <c r="O22" s="29" t="inlineStr">
        <is>
          <t>новая</t>
        </is>
      </c>
      <c r="P22" s="32" t="inlineStr">
        <is>
          <t>133-1442л.xlsx</t>
        </is>
      </c>
    </row>
    <row r="23">
      <c r="A23" s="8" t="n">
        <v>20</v>
      </c>
      <c r="B23" s="23" t="inlineStr">
        <is>
          <t>Южно-Ягунское</t>
        </is>
      </c>
      <c r="C23" s="23" t="n">
        <v>5021</v>
      </c>
      <c r="D23" s="23" t="inlineStr">
        <is>
          <t>Приток</t>
        </is>
      </c>
      <c r="E23" s="12" t="n">
        <v>46032</v>
      </c>
      <c r="F23" s="12" t="n">
        <v>46099</v>
      </c>
      <c r="G23" s="10" t="inlineStr">
        <is>
          <t>Новая выборка — 67 дней</t>
        </is>
      </c>
      <c r="H23" s="12" t="n">
        <v>46092.77657407407</v>
      </c>
      <c r="I23" s="12" t="n">
        <v>46099</v>
      </c>
      <c r="J23" s="12" t="n"/>
      <c r="K23" s="12" t="n"/>
      <c r="L23" s="13">
        <f>M23/N23</f>
        <v/>
      </c>
      <c r="M23" s="3">
        <f>I23-H23</f>
        <v/>
      </c>
      <c r="N23" s="27">
        <f>F23-E23</f>
        <v/>
      </c>
      <c r="O23" s="30" t="inlineStr">
        <is>
          <t>новая</t>
        </is>
      </c>
      <c r="P23" s="33" t="inlineStr">
        <is>
          <t>127-5021.xlsx</t>
        </is>
      </c>
    </row>
    <row r="24">
      <c r="A24" s="7" t="n">
        <v>21</v>
      </c>
      <c r="B24" s="22" t="inlineStr">
        <is>
          <t>Дружное</t>
        </is>
      </c>
      <c r="C24" s="22" t="n">
        <v>3138</v>
      </c>
      <c r="D24" s="22" t="inlineStr">
        <is>
          <t>Приток</t>
        </is>
      </c>
      <c r="E24" s="11" t="n">
        <v>46058</v>
      </c>
      <c r="F24" s="11" t="n">
        <v>46125</v>
      </c>
      <c r="G24" s="9" t="inlineStr">
        <is>
          <t>Новая выборка — 67 дней</t>
        </is>
      </c>
      <c r="H24" s="11" t="n">
        <v>46107.90137731482</v>
      </c>
      <c r="I24" s="11" t="n">
        <v>46125</v>
      </c>
      <c r="J24" s="11" t="n"/>
      <c r="K24" s="11" t="n"/>
      <c r="L24" s="14">
        <f>M24/N24</f>
        <v/>
      </c>
      <c r="M24" s="4">
        <f>I24-H24</f>
        <v/>
      </c>
      <c r="N24" s="26">
        <f>F24-E24</f>
        <v/>
      </c>
      <c r="O24" s="29" t="inlineStr">
        <is>
          <t>новая</t>
        </is>
      </c>
      <c r="P24" s="32" t="inlineStr">
        <is>
          <t>74-3138.xlsx</t>
        </is>
      </c>
    </row>
    <row r="25">
      <c r="A25" s="8" t="n">
        <v>22</v>
      </c>
      <c r="B25" s="23" t="inlineStr">
        <is>
          <t>Южно-Ягунское</t>
        </is>
      </c>
      <c r="C25" s="23" t="n">
        <v>1714</v>
      </c>
      <c r="D25" s="23" t="inlineStr">
        <is>
          <t>Приток</t>
        </is>
      </c>
      <c r="E25" s="12" t="n">
        <v>45921</v>
      </c>
      <c r="F25" s="12" t="n">
        <v>45988</v>
      </c>
      <c r="G25" s="10" t="inlineStr">
        <is>
          <t>Новая выборка — 67 дней</t>
        </is>
      </c>
      <c r="H25" s="12" t="n">
        <v>45966.20236111111</v>
      </c>
      <c r="I25" s="12" t="n">
        <v>45988</v>
      </c>
      <c r="J25" s="12" t="n"/>
      <c r="K25" s="12" t="n"/>
      <c r="L25" s="13">
        <f>M25/N25</f>
        <v/>
      </c>
      <c r="M25" s="3">
        <f>I25-H25</f>
        <v/>
      </c>
      <c r="N25" s="27">
        <f>F25-E25</f>
        <v/>
      </c>
      <c r="O25" s="30" t="inlineStr">
        <is>
          <t>новая</t>
        </is>
      </c>
      <c r="P25" s="33" t="inlineStr">
        <is>
          <t>42-1714.xlsx</t>
        </is>
      </c>
    </row>
    <row r="26">
      <c r="A26" s="7" t="n">
        <v>23</v>
      </c>
      <c r="B26" s="22" t="inlineStr">
        <is>
          <t>Южно-Ягунское</t>
        </is>
      </c>
      <c r="C26" s="22" t="n">
        <v>691</v>
      </c>
      <c r="D26" s="22" t="inlineStr">
        <is>
          <t>Приток</t>
        </is>
      </c>
      <c r="E26" s="11" t="n">
        <v>45981</v>
      </c>
      <c r="F26" s="11" t="n">
        <v>46048</v>
      </c>
      <c r="G26" s="9" t="inlineStr">
        <is>
          <t>Новая выборка — 67 дней</t>
        </is>
      </c>
      <c r="H26" s="11" t="n">
        <v>46005.24123842592</v>
      </c>
      <c r="I26" s="11" t="n">
        <v>46048</v>
      </c>
      <c r="J26" s="11" t="n"/>
      <c r="K26" s="11" t="n"/>
      <c r="L26" s="14">
        <f>M26/N26</f>
        <v/>
      </c>
      <c r="M26" s="4">
        <f>I26-H26</f>
        <v/>
      </c>
      <c r="N26" s="26">
        <f>F26-E26</f>
        <v/>
      </c>
      <c r="O26" s="29" t="inlineStr">
        <is>
          <t>новая</t>
        </is>
      </c>
      <c r="P26" s="32" t="inlineStr">
        <is>
          <t>39-691.xlsx</t>
        </is>
      </c>
    </row>
    <row r="27">
      <c r="A27" s="8" t="n">
        <v>24</v>
      </c>
      <c r="B27" s="23" t="inlineStr">
        <is>
          <t>Южно-Ягунское</t>
        </is>
      </c>
      <c r="C27" s="23" t="n">
        <v>1062</v>
      </c>
      <c r="D27" s="23" t="inlineStr">
        <is>
          <t>Приток</t>
        </is>
      </c>
      <c r="E27" s="12" t="n">
        <v>45980</v>
      </c>
      <c r="F27" s="12" t="n">
        <v>46047</v>
      </c>
      <c r="G27" s="10" t="inlineStr">
        <is>
          <t>Новая выборка — 67 дней</t>
        </is>
      </c>
      <c r="H27" s="12" t="n">
        <v>46024.57133101852</v>
      </c>
      <c r="I27" s="12" t="n">
        <v>46049</v>
      </c>
      <c r="J27" s="12" t="n"/>
      <c r="K27" s="12" t="n"/>
      <c r="L27" s="13">
        <f>M27/N27</f>
        <v/>
      </c>
      <c r="M27" s="3">
        <f>I27-H27</f>
        <v/>
      </c>
      <c r="N27" s="27">
        <f>F27-E27</f>
        <v/>
      </c>
      <c r="O27" s="30" t="inlineStr">
        <is>
          <t>новая</t>
        </is>
      </c>
      <c r="P27" s="33" t="inlineStr">
        <is>
          <t>200-1062.xlsx</t>
        </is>
      </c>
    </row>
    <row r="28">
      <c r="A28" s="8" t="n">
        <v>25</v>
      </c>
      <c r="B28" s="23" t="inlineStr">
        <is>
          <t>Южно-Ягунское</t>
        </is>
      </c>
      <c r="C28" s="23" t="n">
        <v>792</v>
      </c>
      <c r="D28" s="23" t="inlineStr">
        <is>
          <t>Приток</t>
        </is>
      </c>
      <c r="E28" s="40" t="n">
        <v>45989.00010416667</v>
      </c>
      <c r="F28" s="12" t="n">
        <v>46050</v>
      </c>
      <c r="G28" s="10" t="inlineStr">
        <is>
          <t>Новая выборка — 67 дней</t>
        </is>
      </c>
      <c r="H28" s="12" t="n">
        <v>46024.04048611111</v>
      </c>
      <c r="I28" s="12" t="n">
        <v>46050</v>
      </c>
      <c r="J28" s="12" t="n"/>
      <c r="K28" s="12" t="n"/>
      <c r="L28" s="13">
        <f>M28/N28</f>
        <v/>
      </c>
      <c r="M28" s="3">
        <f>I28-H28</f>
        <v/>
      </c>
      <c r="N28" s="27">
        <f>F28-E28</f>
        <v/>
      </c>
      <c r="O28" s="29" t="inlineStr">
        <is>
          <t>новая</t>
        </is>
      </c>
      <c r="P28" s="32" t="inlineStr">
        <is>
          <t>46-792.xlsx</t>
        </is>
      </c>
    </row>
    <row r="29">
      <c r="A29" s="7" t="n">
        <v>26</v>
      </c>
      <c r="B29" s="22" t="inlineStr">
        <is>
          <t>Южно-Ягунское</t>
        </is>
      </c>
      <c r="C29" s="22" t="n">
        <v>610</v>
      </c>
      <c r="D29" s="22" t="inlineStr">
        <is>
          <t>Приток</t>
        </is>
      </c>
      <c r="E29" s="11" t="n">
        <v>46039</v>
      </c>
      <c r="F29" s="11" t="n">
        <v>46106</v>
      </c>
      <c r="G29" s="9" t="inlineStr">
        <is>
          <t>Была остановка 03.03.2026 (игнорировать ее)</t>
        </is>
      </c>
      <c r="H29" s="11" t="n">
        <v>46088.56922453704</v>
      </c>
      <c r="I29" s="11" t="n">
        <v>46106</v>
      </c>
      <c r="J29" s="11" t="n"/>
      <c r="K29" s="11" t="n"/>
      <c r="L29" s="14">
        <f>M29/N29</f>
        <v/>
      </c>
      <c r="M29" s="4">
        <f>I29-H29</f>
        <v/>
      </c>
      <c r="N29" s="26">
        <f>F29-E29</f>
        <v/>
      </c>
      <c r="O29" s="30" t="inlineStr">
        <is>
          <t>новая</t>
        </is>
      </c>
      <c r="P29" s="33" t="inlineStr">
        <is>
          <t>34-610.xlsx</t>
        </is>
      </c>
    </row>
    <row r="30">
      <c r="A30" s="8" t="n">
        <v>27</v>
      </c>
      <c r="B30" s="23" t="inlineStr">
        <is>
          <t>Южно-Ягунское</t>
        </is>
      </c>
      <c r="C30" s="23" t="n">
        <v>1809</v>
      </c>
      <c r="D30" s="23" t="inlineStr">
        <is>
          <t>Приток</t>
        </is>
      </c>
      <c r="E30" s="12" t="n">
        <v>45993</v>
      </c>
      <c r="F30" s="12" t="n">
        <v>46060</v>
      </c>
      <c r="G30" s="10" t="inlineStr">
        <is>
          <t>Новая выборка — 67 дней</t>
        </is>
      </c>
      <c r="H30" s="12" t="n">
        <v>46034.93219907407</v>
      </c>
      <c r="I30" s="12" t="n">
        <v>46060</v>
      </c>
      <c r="J30" s="12" t="n"/>
      <c r="K30" s="12" t="n"/>
      <c r="L30" s="13">
        <f>M30/N30</f>
        <v/>
      </c>
      <c r="M30" s="3">
        <f>I30-H30</f>
        <v/>
      </c>
      <c r="N30" s="27">
        <f>F30-E30</f>
        <v/>
      </c>
      <c r="O30" s="29" t="inlineStr">
        <is>
          <t>новая</t>
        </is>
      </c>
      <c r="P30" s="32" t="inlineStr">
        <is>
          <t>168-1809.xlsx</t>
        </is>
      </c>
    </row>
    <row r="31">
      <c r="A31" s="7" t="n">
        <v>28</v>
      </c>
      <c r="B31" s="22" t="inlineStr">
        <is>
          <t>Южно-Ягунское</t>
        </is>
      </c>
      <c r="C31" s="22" t="n">
        <v>816</v>
      </c>
      <c r="D31" s="22" t="inlineStr">
        <is>
          <t>Приток</t>
        </is>
      </c>
      <c r="E31" s="11" t="n">
        <v>45996</v>
      </c>
      <c r="F31" s="11" t="n">
        <v>46063</v>
      </c>
      <c r="G31" s="9" t="inlineStr">
        <is>
          <t>Новая выборка — 67 дней</t>
        </is>
      </c>
      <c r="H31" s="11" t="n">
        <v>46032.33898148148</v>
      </c>
      <c r="I31" s="11" t="n">
        <v>46063</v>
      </c>
      <c r="J31" s="11" t="n"/>
      <c r="K31" s="11" t="n"/>
      <c r="L31" s="14">
        <f>M31/N31</f>
        <v/>
      </c>
      <c r="M31" s="4">
        <f>I31-H31</f>
        <v/>
      </c>
      <c r="N31" s="26">
        <f>F31-E31</f>
        <v/>
      </c>
      <c r="O31" s="30" t="inlineStr">
        <is>
          <t>новая</t>
        </is>
      </c>
      <c r="P31" s="33" t="inlineStr">
        <is>
          <t>45-816.xlsx</t>
        </is>
      </c>
    </row>
    <row r="32">
      <c r="A32" s="8" t="n">
        <v>29</v>
      </c>
      <c r="B32" s="23" t="inlineStr">
        <is>
          <t>Южно-Ягунское</t>
        </is>
      </c>
      <c r="C32" s="23" t="inlineStr">
        <is>
          <t>5144г</t>
        </is>
      </c>
      <c r="D32" s="23" t="inlineStr">
        <is>
          <t>Приток</t>
        </is>
      </c>
      <c r="E32" s="12" t="n">
        <v>46006</v>
      </c>
      <c r="F32" s="12" t="n">
        <v>46073</v>
      </c>
      <c r="G32" s="10" t="inlineStr">
        <is>
          <t>Новая выборка — 67 дней</t>
        </is>
      </c>
      <c r="H32" s="12" t="n">
        <v>46048.92982638889</v>
      </c>
      <c r="I32" s="12" t="n">
        <v>46073</v>
      </c>
      <c r="J32" s="12" t="n"/>
      <c r="K32" s="12" t="n"/>
      <c r="L32" s="13">
        <f>M32/N32</f>
        <v/>
      </c>
      <c r="M32" s="3">
        <f>I32-H32</f>
        <v/>
      </c>
      <c r="N32" s="27">
        <f>F32-E32</f>
        <v/>
      </c>
      <c r="O32" s="29" t="inlineStr">
        <is>
          <t>новая</t>
        </is>
      </c>
      <c r="P32" s="32" t="inlineStr">
        <is>
          <t>167б-5144г.xlsx</t>
        </is>
      </c>
    </row>
    <row r="33">
      <c r="A33" s="7" t="n">
        <v>30</v>
      </c>
      <c r="B33" s="22" t="inlineStr">
        <is>
          <t>Южно-Ягунское</t>
        </is>
      </c>
      <c r="C33" s="22" t="n">
        <v>790</v>
      </c>
      <c r="D33" s="22" t="inlineStr">
        <is>
          <t>Приток</t>
        </is>
      </c>
      <c r="E33" s="11" t="n">
        <v>45972</v>
      </c>
      <c r="F33" s="11" t="n">
        <v>46039</v>
      </c>
      <c r="G33" s="9" t="inlineStr">
        <is>
          <t>Новая выборка — 67 дней</t>
        </is>
      </c>
      <c r="H33" s="11" t="n">
        <v>46024.59819444444</v>
      </c>
      <c r="I33" s="11" t="n">
        <v>46039</v>
      </c>
      <c r="J33" s="11" t="n"/>
      <c r="K33" s="11" t="n"/>
      <c r="L33" s="14">
        <f>M33/N33</f>
        <v/>
      </c>
      <c r="M33" s="4">
        <f>I33-H33</f>
        <v/>
      </c>
      <c r="N33" s="26">
        <f>F33-E33</f>
        <v/>
      </c>
      <c r="O33" s="30" t="inlineStr">
        <is>
          <t>новая</t>
        </is>
      </c>
      <c r="P33" s="33" t="inlineStr">
        <is>
          <t>45-790.xlsx</t>
        </is>
      </c>
    </row>
    <row r="34">
      <c r="A34" s="8" t="n">
        <v>31</v>
      </c>
      <c r="B34" s="23" t="inlineStr">
        <is>
          <t>Южно-Ягунское</t>
        </is>
      </c>
      <c r="C34" s="23" t="n">
        <v>713</v>
      </c>
      <c r="D34" s="23" t="inlineStr">
        <is>
          <t>Приток</t>
        </is>
      </c>
      <c r="E34" s="12" t="n">
        <v>45972</v>
      </c>
      <c r="F34" s="12" t="n">
        <v>46039</v>
      </c>
      <c r="G34" s="10" t="inlineStr">
        <is>
          <t>Новая выборка — 67 дней</t>
        </is>
      </c>
      <c r="H34" s="12" t="n">
        <v>46026.45359953704</v>
      </c>
      <c r="I34" s="12" t="n">
        <v>46039</v>
      </c>
      <c r="J34" s="12" t="n"/>
      <c r="K34" s="12" t="n"/>
      <c r="L34" s="13">
        <f>M34/N34</f>
        <v/>
      </c>
      <c r="M34" s="3">
        <f>I34-H34</f>
        <v/>
      </c>
      <c r="N34" s="27">
        <f>F34-E34</f>
        <v/>
      </c>
      <c r="O34" s="29" t="inlineStr">
        <is>
          <t>новая</t>
        </is>
      </c>
      <c r="P34" s="32" t="inlineStr">
        <is>
          <t>42-713.xlsx</t>
        </is>
      </c>
    </row>
    <row r="35">
      <c r="A35" s="7" t="n">
        <v>32</v>
      </c>
      <c r="B35" s="22" t="inlineStr">
        <is>
          <t>Южно-Ягунское</t>
        </is>
      </c>
      <c r="C35" s="22" t="n">
        <v>1756</v>
      </c>
      <c r="D35" s="22" t="inlineStr">
        <is>
          <t>Приток</t>
        </is>
      </c>
      <c r="E35" s="11" t="n">
        <v>45931</v>
      </c>
      <c r="F35" s="11" t="n">
        <v>45998</v>
      </c>
      <c r="G35" s="9" t="inlineStr">
        <is>
          <t>Новая выборка — 67 дней</t>
        </is>
      </c>
      <c r="H35" s="11" t="n">
        <v>45973.00328703703</v>
      </c>
      <c r="I35" s="11" t="n">
        <v>45998</v>
      </c>
      <c r="J35" s="11" t="n"/>
      <c r="K35" s="11" t="n"/>
      <c r="L35" s="14">
        <f>M35/N35</f>
        <v/>
      </c>
      <c r="M35" s="4">
        <f>I35-H35</f>
        <v/>
      </c>
      <c r="N35" s="26">
        <f>F35-E35</f>
        <v/>
      </c>
      <c r="O35" s="30" t="inlineStr">
        <is>
          <t>новая</t>
        </is>
      </c>
      <c r="P35" s="33" t="inlineStr">
        <is>
          <t>50-1756.xlsx</t>
        </is>
      </c>
    </row>
    <row r="36">
      <c r="A36" s="8" t="n">
        <v>33</v>
      </c>
      <c r="B36" s="23" t="inlineStr">
        <is>
          <t>Кустовое</t>
        </is>
      </c>
      <c r="C36" s="23" t="n">
        <v>3027</v>
      </c>
      <c r="D36" s="23" t="inlineStr">
        <is>
          <t>Приток</t>
        </is>
      </c>
      <c r="E36" s="12" t="n">
        <v>46028</v>
      </c>
      <c r="F36" s="12" t="n">
        <v>46095</v>
      </c>
      <c r="G36" s="10" t="inlineStr">
        <is>
          <t>Новая выборка — 67 дней</t>
        </is>
      </c>
      <c r="H36" s="12" t="n">
        <v>46084.75760416667</v>
      </c>
      <c r="I36" s="12" t="n">
        <v>46095</v>
      </c>
      <c r="J36" s="12" t="n"/>
      <c r="K36" s="12" t="n"/>
      <c r="L36" s="13">
        <f>M36/N36</f>
        <v/>
      </c>
      <c r="M36" s="3">
        <f>I36-H36</f>
        <v/>
      </c>
      <c r="N36" s="27">
        <f>F36-E36</f>
        <v/>
      </c>
      <c r="O36" s="29" t="inlineStr">
        <is>
          <t>новая</t>
        </is>
      </c>
      <c r="P36" s="32" t="inlineStr">
        <is>
          <t>47-3027.xlsx</t>
        </is>
      </c>
    </row>
    <row r="37">
      <c r="A37" s="7" t="n">
        <v>34</v>
      </c>
      <c r="B37" s="22" t="inlineStr">
        <is>
          <t>Южно-Ягунское</t>
        </is>
      </c>
      <c r="C37" s="22" t="n">
        <v>1395</v>
      </c>
      <c r="D37" s="22" t="inlineStr">
        <is>
          <t>Приток</t>
        </is>
      </c>
      <c r="E37" s="11" t="n">
        <v>46023</v>
      </c>
      <c r="F37" s="11" t="n">
        <v>46091</v>
      </c>
      <c r="G37" s="9" t="inlineStr">
        <is>
          <t>Новая выборка — 68 дней</t>
        </is>
      </c>
      <c r="H37" s="11" t="n">
        <v>46057.72853009259</v>
      </c>
      <c r="I37" s="11" t="n">
        <v>46091</v>
      </c>
      <c r="J37" s="11" t="n"/>
      <c r="K37" s="11" t="n"/>
      <c r="L37" s="14">
        <f>M37/N37</f>
        <v/>
      </c>
      <c r="M37" s="4">
        <f>I37-H37</f>
        <v/>
      </c>
      <c r="N37" s="26">
        <f>F37-E37</f>
        <v/>
      </c>
      <c r="O37" s="30" t="inlineStr">
        <is>
          <t>новая</t>
        </is>
      </c>
      <c r="P37" s="33" t="inlineStr">
        <is>
          <t>126-1395.xlsx</t>
        </is>
      </c>
    </row>
    <row r="38" ht="78" customHeight="1">
      <c r="A38" s="8" t="n">
        <v>35</v>
      </c>
      <c r="B38" s="23" t="inlineStr">
        <is>
          <t>Кустовое</t>
        </is>
      </c>
      <c r="C38" s="23" t="n">
        <v>3269</v>
      </c>
      <c r="D38" s="23" t="inlineStr">
        <is>
          <t>Соли</t>
        </is>
      </c>
      <c r="E38" s="12" t="n">
        <v>45931</v>
      </c>
      <c r="F38" s="12" t="n">
        <v>45998</v>
      </c>
      <c r="G38" s="10" t="inlineStr">
        <is>
          <t>08.10.2025 увеличение выходной частоты незначительно отразилось на давлении на приеме. С 15.10.2025 наблюдается визуально начало восходящего тренда увеличения давления на приеме. 21.10.2025 повторное увеличение выходной частоты немного снизило давление на приеме. Но все равно после этого восходящий тренд давления на приеме продолжился</t>
        </is>
      </c>
      <c r="H38" s="12" t="n">
        <v>45945</v>
      </c>
      <c r="I38" s="12" t="n">
        <v>45957.48958333334</v>
      </c>
      <c r="J38" s="12" t="n"/>
      <c r="K38" s="12" t="n"/>
      <c r="L38" s="13">
        <f>M38/N38</f>
        <v/>
      </c>
      <c r="M38" s="3">
        <f>I38-H38</f>
        <v/>
      </c>
      <c r="N38" s="27">
        <f>F38-E38</f>
        <v/>
      </c>
      <c r="O38" s="29" t="inlineStr">
        <is>
          <t>новая</t>
        </is>
      </c>
      <c r="P38" s="32" t="inlineStr">
        <is>
          <t>47-3269.xlsx</t>
        </is>
      </c>
    </row>
    <row r="39" ht="39" customHeight="1">
      <c r="A39" s="7" t="n">
        <v>36</v>
      </c>
      <c r="B39" s="22" t="inlineStr">
        <is>
          <t>Восточно-Икилорское</t>
        </is>
      </c>
      <c r="C39" s="22" t="inlineStr">
        <is>
          <t>149г</t>
        </is>
      </c>
      <c r="D39" s="22" t="inlineStr">
        <is>
          <t>Соли</t>
        </is>
      </c>
      <c r="E39" s="11" t="n">
        <v>45809</v>
      </c>
      <c r="F39" s="11" t="n">
        <v>45876</v>
      </c>
      <c r="G39" s="9" t="inlineStr">
        <is>
          <t>С 20.06.2025 начался интенсивный рост давления на приеме. 24.06.2025 снижение давления на приеме вызванное увеличением выходной частоты. Далее вновь рост давления на приеме до конца выгрузки</t>
        </is>
      </c>
      <c r="H39" s="11" t="n">
        <v>45828.55</v>
      </c>
      <c r="I39" s="11" t="n">
        <v>45836.08333333334</v>
      </c>
      <c r="J39" s="11" t="n"/>
      <c r="K39" s="11" t="n"/>
      <c r="L39" s="14">
        <f>M39/N39</f>
        <v/>
      </c>
      <c r="M39" s="4">
        <f>I39-H39</f>
        <v/>
      </c>
      <c r="N39" s="26">
        <f>F39-E39</f>
        <v/>
      </c>
      <c r="O39" s="30" t="inlineStr">
        <is>
          <t>новая</t>
        </is>
      </c>
      <c r="P39" s="33" t="inlineStr">
        <is>
          <t>1-149г.xlsx</t>
        </is>
      </c>
    </row>
    <row r="40" ht="104" customHeight="1">
      <c r="A40" s="8" t="n">
        <v>37</v>
      </c>
      <c r="B40" s="23" t="inlineStr">
        <is>
          <t>Кустовое</t>
        </is>
      </c>
      <c r="C40" s="23" t="inlineStr">
        <is>
          <t>3244Г</t>
        </is>
      </c>
      <c r="D40" s="23" t="inlineStr">
        <is>
          <t>Соли</t>
        </is>
      </c>
      <c r="E40" s="12" t="n">
        <v>45962</v>
      </c>
      <c r="F40" s="12" t="n">
        <v>46029</v>
      </c>
      <c r="G40" s="10" t="inlineStr">
        <is>
          <t xml:space="preserve">На данной скважине выходная частота увеличивалась трендового, а не ступенчато. Одним из факторов того, что на скважине происходит ухудшение работы ГНО это то, что при увеличении выходной частоты продолжается рост давления на приеме. Как пример, на этой скважине рост давления на приеме начался с 23.11.2025 при этом выходная частота также примерно с этого момента начала увеличиваться. В данном кейсе явно выраженное солеотложение, когда интенсивный рост выходной частоты не может привести к снижению давления на приеме </t>
        </is>
      </c>
      <c r="H40" s="12" t="n">
        <v>45984</v>
      </c>
      <c r="I40" s="12" t="n">
        <v>46029</v>
      </c>
      <c r="J40" s="12" t="n"/>
      <c r="K40" s="12" t="n"/>
      <c r="L40" s="13">
        <f>M40/N40</f>
        <v/>
      </c>
      <c r="M40" s="3">
        <f>I40-H40</f>
        <v/>
      </c>
      <c r="N40" s="27">
        <f>F40-E40</f>
        <v/>
      </c>
      <c r="O40" s="29" t="inlineStr">
        <is>
          <t>новая</t>
        </is>
      </c>
      <c r="P40" s="32" t="inlineStr">
        <is>
          <t>72-3244г.xlsx</t>
        </is>
      </c>
    </row>
    <row r="41" ht="26" customHeight="1">
      <c r="A41" s="7" t="n">
        <v>38</v>
      </c>
      <c r="B41" s="22" t="inlineStr">
        <is>
          <t>Южно-Ягунское</t>
        </is>
      </c>
      <c r="C41" s="22" t="inlineStr">
        <is>
          <t>129л</t>
        </is>
      </c>
      <c r="D41" s="22" t="inlineStr">
        <is>
          <t>Приток</t>
        </is>
      </c>
      <c r="E41" s="11" t="n">
        <v>45987</v>
      </c>
      <c r="F41" s="11" t="n">
        <v>46054</v>
      </c>
      <c r="G41" s="9" t="inlineStr">
        <is>
          <t>Новая выборка — 67 дней</t>
        </is>
      </c>
      <c r="H41" s="11" t="n">
        <v>46031.84972222222</v>
      </c>
      <c r="I41" s="11" t="n">
        <v>46054.08333333334</v>
      </c>
      <c r="J41" s="11" t="n"/>
      <c r="K41" s="11" t="n"/>
      <c r="L41" s="14">
        <f>M41/N41</f>
        <v/>
      </c>
      <c r="M41" s="4">
        <f>I41-H41</f>
        <v/>
      </c>
      <c r="N41" s="26">
        <f>F41-E41</f>
        <v/>
      </c>
      <c r="O41" s="30" t="inlineStr">
        <is>
          <t>новая</t>
        </is>
      </c>
      <c r="P41" s="33" t="inlineStr">
        <is>
          <t>2-129л.xlsx</t>
        </is>
      </c>
    </row>
    <row r="42" ht="26" customHeight="1">
      <c r="A42" s="8" t="n">
        <v>39</v>
      </c>
      <c r="B42" s="23" t="inlineStr">
        <is>
          <t>Кустовое</t>
        </is>
      </c>
      <c r="C42" s="23" t="n">
        <v>3261</v>
      </c>
      <c r="D42" s="23" t="inlineStr">
        <is>
          <t>Приток</t>
        </is>
      </c>
      <c r="E42" s="12" t="n">
        <v>45899</v>
      </c>
      <c r="F42" s="12" t="n">
        <v>45966</v>
      </c>
      <c r="G42" s="10" t="inlineStr">
        <is>
          <t>Новая выборка — 67 дней</t>
        </is>
      </c>
      <c r="H42" s="12" t="n">
        <v>45953</v>
      </c>
      <c r="I42" s="12" t="n">
        <v>45966.08333333334</v>
      </c>
      <c r="J42" s="12" t="n"/>
      <c r="K42" s="12" t="n"/>
      <c r="L42" s="13">
        <f>M42/N42</f>
        <v/>
      </c>
      <c r="M42" s="3">
        <f>I42-H42</f>
        <v/>
      </c>
      <c r="N42" s="27">
        <f>F42-E42</f>
        <v/>
      </c>
      <c r="O42" s="29" t="inlineStr">
        <is>
          <t>новая</t>
        </is>
      </c>
      <c r="P42" s="32" t="inlineStr">
        <is>
          <t>47-3261.xlsx</t>
        </is>
      </c>
    </row>
    <row r="43" ht="26" customHeight="1">
      <c r="A43" s="7" t="n">
        <v>40</v>
      </c>
      <c r="B43" s="22" t="inlineStr">
        <is>
          <t>Кустовое</t>
        </is>
      </c>
      <c r="C43" s="22" t="inlineStr">
        <is>
          <t>3509г</t>
        </is>
      </c>
      <c r="D43" s="22" t="inlineStr">
        <is>
          <t>Негерметичность НКТ</t>
        </is>
      </c>
      <c r="E43" s="11" t="n">
        <v>45813</v>
      </c>
      <c r="F43" s="11" t="n">
        <v>45880</v>
      </c>
      <c r="G43" s="9" t="inlineStr">
        <is>
          <t>Новая выборка — 67 дней</t>
        </is>
      </c>
      <c r="H43" s="11" t="n">
        <v>45879.40277777778</v>
      </c>
      <c r="I43" s="11" t="n">
        <v>45880</v>
      </c>
      <c r="J43" s="11" t="n"/>
      <c r="K43" s="11" t="n"/>
      <c r="L43" s="14">
        <f>M43/N43</f>
        <v/>
      </c>
      <c r="M43" s="4">
        <f>I43-H43</f>
        <v/>
      </c>
      <c r="N43" s="26">
        <f>F43-E43</f>
        <v/>
      </c>
      <c r="O43" s="30" t="inlineStr">
        <is>
          <t>новая</t>
        </is>
      </c>
      <c r="P43" s="33" t="inlineStr">
        <is>
          <t>69-3509г.xlsx</t>
        </is>
      </c>
    </row>
    <row r="44">
      <c r="A44" s="8" t="n">
        <v>41</v>
      </c>
      <c r="B44" s="23" t="inlineStr">
        <is>
          <t>Южно-Ягунское</t>
        </is>
      </c>
      <c r="C44" s="23" t="n">
        <v>524</v>
      </c>
      <c r="D44" s="23" t="inlineStr">
        <is>
          <t>Негерметичность НКТ</t>
        </is>
      </c>
      <c r="E44" s="12" t="n">
        <v>45809</v>
      </c>
      <c r="F44" s="12" t="n">
        <v>45818</v>
      </c>
      <c r="G44" s="10" t="inlineStr">
        <is>
          <t>Новая выборка — 9 дней</t>
        </is>
      </c>
      <c r="H44" s="12" t="n">
        <v>45817.81805555556</v>
      </c>
      <c r="I44" s="12" t="n">
        <v>45818.64583333334</v>
      </c>
      <c r="J44" s="12" t="n"/>
      <c r="K44" s="12" t="n"/>
      <c r="L44" s="13">
        <f>M44/N44</f>
        <v/>
      </c>
      <c r="M44" s="3">
        <f>I44-H44</f>
        <v/>
      </c>
      <c r="N44" s="27">
        <f>F44-E44</f>
        <v/>
      </c>
      <c r="O44" s="29" t="inlineStr">
        <is>
          <t>новая</t>
        </is>
      </c>
      <c r="P44" s="32" t="inlineStr">
        <is>
          <t>29-524.xlsx</t>
        </is>
      </c>
    </row>
    <row r="45">
      <c r="A45" s="7" t="n">
        <v>42</v>
      </c>
      <c r="B45" s="22" t="inlineStr">
        <is>
          <t>Южно-Ягунское</t>
        </is>
      </c>
      <c r="C45" s="22" t="inlineStr">
        <is>
          <t>5271г</t>
        </is>
      </c>
      <c r="D45" s="22" t="inlineStr">
        <is>
          <t>Негерметичность НКТ</t>
        </is>
      </c>
      <c r="E45" s="11" t="n">
        <v>45818</v>
      </c>
      <c r="F45" s="11" t="n">
        <v>45885</v>
      </c>
      <c r="G45" s="9" t="inlineStr">
        <is>
          <t>Новая выборка — 67 дней</t>
        </is>
      </c>
      <c r="H45" s="11" t="n">
        <v>45883.01436342593</v>
      </c>
      <c r="I45" s="11" t="n">
        <v>45885</v>
      </c>
      <c r="J45" s="11" t="n"/>
      <c r="K45" s="11" t="n"/>
      <c r="L45" s="14">
        <f>M45/N45</f>
        <v/>
      </c>
      <c r="M45" s="4">
        <f>I45-H45</f>
        <v/>
      </c>
      <c r="N45" s="26">
        <f>F45-E45</f>
        <v/>
      </c>
      <c r="O45" s="30" t="inlineStr">
        <is>
          <t>новая</t>
        </is>
      </c>
      <c r="P45" s="33" t="inlineStr">
        <is>
          <t>335-5271г.xlsx</t>
        </is>
      </c>
    </row>
    <row r="46">
      <c r="A46" s="8" t="n">
        <v>43</v>
      </c>
      <c r="B46" s="23" t="inlineStr">
        <is>
          <t>Кустовое</t>
        </is>
      </c>
      <c r="C46" s="23" t="n">
        <v>3245</v>
      </c>
      <c r="D46" s="23" t="inlineStr">
        <is>
          <t>Соли</t>
        </is>
      </c>
      <c r="E46" s="12" t="n">
        <v>45892</v>
      </c>
      <c r="F46" s="12" t="n">
        <v>45959</v>
      </c>
      <c r="G46" s="10" t="inlineStr">
        <is>
          <t>Новая выборка — 67 дней</t>
        </is>
      </c>
      <c r="H46" s="12" t="n">
        <v>45939.30069444444</v>
      </c>
      <c r="I46" s="12" t="n">
        <v>45959</v>
      </c>
      <c r="J46" s="12" t="n"/>
      <c r="K46" s="12" t="n"/>
      <c r="L46" s="13">
        <f>M46/N46</f>
        <v/>
      </c>
      <c r="M46" s="3">
        <f>I46-H46</f>
        <v/>
      </c>
      <c r="N46" s="27">
        <f>F46-E46</f>
        <v/>
      </c>
      <c r="O46" s="29" t="inlineStr">
        <is>
          <t>новая</t>
        </is>
      </c>
      <c r="P46" s="32" t="inlineStr">
        <is>
          <t>47-3245.xlsx</t>
        </is>
      </c>
    </row>
    <row r="47">
      <c r="A47" s="7" t="n">
        <v>44</v>
      </c>
      <c r="B47" s="22" t="inlineStr">
        <is>
          <t>Южно-Ягунское</t>
        </is>
      </c>
      <c r="C47" s="22" t="n">
        <v>1151</v>
      </c>
      <c r="D47" s="22" t="inlineStr">
        <is>
          <t>Нормальная работа</t>
        </is>
      </c>
      <c r="E47" s="11" t="n">
        <v>46137.08333333334</v>
      </c>
      <c r="F47" s="11" t="n">
        <v>46149.08333333334</v>
      </c>
      <c r="G47" s="9" t="inlineStr">
        <is>
          <t>norm_work — чисто нормальная работа</t>
        </is>
      </c>
      <c r="H47" s="11" t="n"/>
      <c r="I47" s="11" t="n"/>
      <c r="J47" s="11" t="n"/>
      <c r="K47" s="11" t="n"/>
      <c r="L47" s="14">
        <f>M47/N47</f>
        <v/>
      </c>
      <c r="M47" s="4">
        <f>I47-H47</f>
        <v/>
      </c>
      <c r="N47" s="26">
        <f>F47-E47</f>
        <v/>
      </c>
      <c r="O47" s="30" t="inlineStr">
        <is>
          <t>norm_work</t>
        </is>
      </c>
      <c r="P47" s="33" t="inlineStr">
        <is>
          <t>1151_ЮЯ_Нормальная работа.xlsx</t>
        </is>
      </c>
    </row>
    <row r="48">
      <c r="A48" s="8" t="n">
        <v>45</v>
      </c>
      <c r="B48" s="23" t="inlineStr">
        <is>
          <t>Южно-Ягунское</t>
        </is>
      </c>
      <c r="C48" s="23" t="inlineStr">
        <is>
          <t>1213л</t>
        </is>
      </c>
      <c r="D48" s="23" t="inlineStr">
        <is>
          <t>Нормальная работа</t>
        </is>
      </c>
      <c r="E48" s="12" t="n">
        <v>46125.08333333334</v>
      </c>
      <c r="F48" s="12" t="n">
        <v>46139.08333333334</v>
      </c>
      <c r="G48" s="10" t="inlineStr">
        <is>
          <t>norm_work — чисто нормальная работа</t>
        </is>
      </c>
      <c r="H48" s="12" t="n"/>
      <c r="I48" s="12" t="n"/>
      <c r="J48" s="12" t="n"/>
      <c r="K48" s="12" t="n"/>
      <c r="L48" s="13">
        <f>M48/N48</f>
        <v/>
      </c>
      <c r="M48" s="3">
        <f>I48-H48</f>
        <v/>
      </c>
      <c r="N48" s="27">
        <f>F48-E48</f>
        <v/>
      </c>
      <c r="O48" s="29" t="inlineStr">
        <is>
          <t>norm_work</t>
        </is>
      </c>
      <c r="P48" s="32" t="inlineStr">
        <is>
          <t>1213л_ЮЯ_Нормальная работа.xlsx</t>
        </is>
      </c>
    </row>
    <row r="49">
      <c r="A49" s="7" t="n">
        <v>46</v>
      </c>
      <c r="B49" s="22" t="inlineStr">
        <is>
          <t>Южно-Ягунское</t>
        </is>
      </c>
      <c r="C49" s="22" t="inlineStr">
        <is>
          <t>1214у</t>
        </is>
      </c>
      <c r="D49" s="22" t="inlineStr">
        <is>
          <t>Нормальная работа</t>
        </is>
      </c>
      <c r="E49" s="11" t="n">
        <v>46131.08333333334</v>
      </c>
      <c r="F49" s="11" t="n">
        <v>46139.08333333334</v>
      </c>
      <c r="G49" s="9" t="inlineStr">
        <is>
          <t>norm_work — чисто нормальная работа</t>
        </is>
      </c>
      <c r="H49" s="11" t="n"/>
      <c r="I49" s="11" t="n"/>
      <c r="J49" s="11" t="n"/>
      <c r="K49" s="11" t="n"/>
      <c r="L49" s="14">
        <f>M49/N49</f>
        <v/>
      </c>
      <c r="M49" s="4">
        <f>I49-H49</f>
        <v/>
      </c>
      <c r="N49" s="26">
        <f>F49-E49</f>
        <v/>
      </c>
      <c r="O49" s="30" t="inlineStr">
        <is>
          <t>norm_work</t>
        </is>
      </c>
      <c r="P49" s="33" t="inlineStr">
        <is>
          <t>1214у_ЮЯ_Нормальная работа.xlsx</t>
        </is>
      </c>
    </row>
    <row r="50">
      <c r="A50" s="8" t="n">
        <v>47</v>
      </c>
      <c r="B50" s="23" t="inlineStr">
        <is>
          <t>Южно-Ягунское</t>
        </is>
      </c>
      <c r="C50" s="23" t="n">
        <v>1247</v>
      </c>
      <c r="D50" s="23" t="inlineStr">
        <is>
          <t>Нормальная работа</t>
        </is>
      </c>
      <c r="E50" s="12" t="n">
        <v>46129.08333333334</v>
      </c>
      <c r="F50" s="12" t="n">
        <v>46149.08333333334</v>
      </c>
      <c r="G50" s="10" t="inlineStr">
        <is>
          <t>norm_work — чисто нормальная работа</t>
        </is>
      </c>
      <c r="H50" s="12" t="n"/>
      <c r="I50" s="12" t="n"/>
      <c r="J50" s="12" t="n"/>
      <c r="K50" s="12" t="n"/>
      <c r="L50" s="13">
        <f>M50/N50</f>
        <v/>
      </c>
      <c r="M50" s="3">
        <f>I50-H50</f>
        <v/>
      </c>
      <c r="N50" s="27">
        <f>F50-E50</f>
        <v/>
      </c>
      <c r="O50" s="29" t="inlineStr">
        <is>
          <t>norm_work</t>
        </is>
      </c>
      <c r="P50" s="32" t="inlineStr">
        <is>
          <t>1247_ЮЯ_Нормальная работа.xlsx</t>
        </is>
      </c>
    </row>
    <row r="51">
      <c r="A51" s="7" t="n">
        <v>48</v>
      </c>
      <c r="B51" s="22" t="inlineStr">
        <is>
          <t>Южно-Ягунское</t>
        </is>
      </c>
      <c r="C51" s="22" t="n">
        <v>126</v>
      </c>
      <c r="D51" s="22" t="inlineStr">
        <is>
          <t>Нормальная работа</t>
        </is>
      </c>
      <c r="E51" s="11" t="n">
        <v>46129.08333333334</v>
      </c>
      <c r="F51" s="11" t="n">
        <v>46139.08333333334</v>
      </c>
      <c r="G51" s="9" t="inlineStr">
        <is>
          <t>norm_work — чисто нормальная работа</t>
        </is>
      </c>
      <c r="H51" s="11" t="n"/>
      <c r="I51" s="11" t="n"/>
      <c r="J51" s="11" t="n"/>
      <c r="K51" s="11" t="n"/>
      <c r="L51" s="14">
        <f>M51/N51</f>
        <v/>
      </c>
      <c r="M51" s="4">
        <f>I51-H51</f>
        <v/>
      </c>
      <c r="N51" s="26">
        <f>F51-E51</f>
        <v/>
      </c>
      <c r="O51" s="30" t="inlineStr">
        <is>
          <t>norm_work</t>
        </is>
      </c>
      <c r="P51" s="33" t="inlineStr">
        <is>
          <t>126_ЮЯ_Нормальная работа.xlsx</t>
        </is>
      </c>
    </row>
    <row r="52">
      <c r="A52" s="8" t="n">
        <v>49</v>
      </c>
      <c r="B52" s="23" t="inlineStr">
        <is>
          <t>Южно-Ягунское</t>
        </is>
      </c>
      <c r="C52" s="23" t="inlineStr">
        <is>
          <t>129л</t>
        </is>
      </c>
      <c r="D52" s="23" t="inlineStr">
        <is>
          <t>Нормальная работа</t>
        </is>
      </c>
      <c r="E52" s="12" t="n">
        <v>46125.08333333334</v>
      </c>
      <c r="F52" s="12" t="n">
        <v>46149.08333333334</v>
      </c>
      <c r="G52" s="10" t="inlineStr">
        <is>
          <t>norm_work — чисто нормальная работа</t>
        </is>
      </c>
      <c r="H52" s="12" t="n"/>
      <c r="I52" s="12" t="n"/>
      <c r="J52" s="12" t="n"/>
      <c r="K52" s="12" t="n"/>
      <c r="L52" s="13">
        <f>M52/N52</f>
        <v/>
      </c>
      <c r="M52" s="3">
        <f>I52-H52</f>
        <v/>
      </c>
      <c r="N52" s="27">
        <f>F52-E52</f>
        <v/>
      </c>
      <c r="O52" s="29" t="inlineStr">
        <is>
          <t>norm_work</t>
        </is>
      </c>
      <c r="P52" s="32" t="inlineStr">
        <is>
          <t>129л_ЮЯ_Нормальная работа.xlsx</t>
        </is>
      </c>
    </row>
    <row r="53">
      <c r="A53" s="7" t="n">
        <v>50</v>
      </c>
      <c r="B53" s="22" t="inlineStr">
        <is>
          <t>Южно-Ягунское</t>
        </is>
      </c>
      <c r="C53" s="22" t="inlineStr">
        <is>
          <t>1396у</t>
        </is>
      </c>
      <c r="D53" s="22" t="inlineStr">
        <is>
          <t>Нормальная работа</t>
        </is>
      </c>
      <c r="E53" s="11" t="n">
        <v>46113.08333333334</v>
      </c>
      <c r="F53" s="11" t="n">
        <v>46143.08333333334</v>
      </c>
      <c r="G53" s="9" t="inlineStr">
        <is>
          <t>norm_work — чисто нормальная работа</t>
        </is>
      </c>
      <c r="H53" s="11" t="n"/>
      <c r="I53" s="11" t="n"/>
      <c r="J53" s="11" t="n"/>
      <c r="K53" s="11" t="n"/>
      <c r="L53" s="14">
        <f>M53/N53</f>
        <v/>
      </c>
      <c r="M53" s="4">
        <f>I53-H53</f>
        <v/>
      </c>
      <c r="N53" s="26">
        <f>F53-E53</f>
        <v/>
      </c>
      <c r="O53" s="30" t="inlineStr">
        <is>
          <t>norm_work</t>
        </is>
      </c>
      <c r="P53" s="33" t="inlineStr">
        <is>
          <t>1396у_ЮЯ_Нормальная работа.xlsx</t>
        </is>
      </c>
    </row>
    <row r="54">
      <c r="A54" s="8" t="n">
        <v>51</v>
      </c>
      <c r="B54" s="23" t="inlineStr">
        <is>
          <t>Южно-Ягунское</t>
        </is>
      </c>
      <c r="C54" s="23" t="n">
        <v>144</v>
      </c>
      <c r="D54" s="23" t="inlineStr">
        <is>
          <t>Нормальная работа</t>
        </is>
      </c>
      <c r="E54" s="12" t="n">
        <v>46127.08333333334</v>
      </c>
      <c r="F54" s="12" t="n">
        <v>46135.08333333334</v>
      </c>
      <c r="G54" s="10" t="inlineStr">
        <is>
          <t>norm_work — чисто нормальная работа</t>
        </is>
      </c>
      <c r="H54" s="12" t="n"/>
      <c r="I54" s="12" t="n"/>
      <c r="J54" s="12" t="n"/>
      <c r="K54" s="12" t="n"/>
      <c r="L54" s="13">
        <f>M54/N54</f>
        <v/>
      </c>
      <c r="M54" s="3">
        <f>I54-H54</f>
        <v/>
      </c>
      <c r="N54" s="27">
        <f>F54-E54</f>
        <v/>
      </c>
      <c r="O54" s="29" t="inlineStr">
        <is>
          <t>norm_work</t>
        </is>
      </c>
      <c r="P54" s="32" t="inlineStr">
        <is>
          <t>144_ЮЯ_Нормальная работа.xlsx</t>
        </is>
      </c>
    </row>
    <row r="55">
      <c r="A55" s="7" t="n">
        <v>52</v>
      </c>
      <c r="B55" s="22" t="inlineStr">
        <is>
          <t>Южно-Ягунское</t>
        </is>
      </c>
      <c r="C55" s="22" t="inlineStr">
        <is>
          <t>220(2)</t>
        </is>
      </c>
      <c r="D55" s="22" t="inlineStr">
        <is>
          <t>Нормальная работа</t>
        </is>
      </c>
      <c r="E55" s="11" t="n">
        <v>46129.08333333334</v>
      </c>
      <c r="F55" s="11" t="n">
        <v>46149.08333333334</v>
      </c>
      <c r="G55" s="9" t="inlineStr">
        <is>
          <t>norm_work — чисто нормальная работа</t>
        </is>
      </c>
      <c r="H55" s="11" t="n"/>
      <c r="I55" s="11" t="n"/>
      <c r="J55" s="11" t="n"/>
      <c r="K55" s="11" t="n"/>
      <c r="L55" s="14">
        <f>M55/N55</f>
        <v/>
      </c>
      <c r="M55" s="4">
        <f>I55-H55</f>
        <v/>
      </c>
      <c r="N55" s="26">
        <f>F55-E55</f>
        <v/>
      </c>
      <c r="O55" s="30" t="inlineStr">
        <is>
          <t>norm_work</t>
        </is>
      </c>
      <c r="P55" s="33" t="inlineStr">
        <is>
          <t>220(2)_Нормальная работа.xlsx</t>
        </is>
      </c>
    </row>
    <row r="56">
      <c r="A56" s="8" t="n">
        <v>53</v>
      </c>
      <c r="B56" s="23" t="inlineStr">
        <is>
          <t>Южно-Ягунское</t>
        </is>
      </c>
      <c r="C56" s="23" t="n">
        <v>220</v>
      </c>
      <c r="D56" s="23" t="inlineStr">
        <is>
          <t>Нормальная работа</t>
        </is>
      </c>
      <c r="E56" s="12" t="n">
        <v>46137.08333333334</v>
      </c>
      <c r="F56" s="12" t="n">
        <v>46151.08333333334</v>
      </c>
      <c r="G56" s="10" t="inlineStr">
        <is>
          <t>norm_work — чисто нормальная работа</t>
        </is>
      </c>
      <c r="H56" s="12" t="n"/>
      <c r="I56" s="12" t="n"/>
      <c r="J56" s="12" t="n"/>
      <c r="K56" s="12" t="n"/>
      <c r="L56" s="13">
        <f>M56/N56</f>
        <v/>
      </c>
      <c r="M56" s="3">
        <f>I56-H56</f>
        <v/>
      </c>
      <c r="N56" s="27">
        <f>F56-E56</f>
        <v/>
      </c>
      <c r="O56" s="29" t="inlineStr">
        <is>
          <t>norm_work</t>
        </is>
      </c>
      <c r="P56" s="32" t="inlineStr">
        <is>
          <t>220_ЮЯ_Нормальная работа.xlsx</t>
        </is>
      </c>
    </row>
    <row r="57">
      <c r="A57" s="7" t="n">
        <v>54</v>
      </c>
      <c r="B57" s="22" t="inlineStr">
        <is>
          <t>Южно-Ягунское</t>
        </is>
      </c>
      <c r="C57" s="22" t="n">
        <v>254</v>
      </c>
      <c r="D57" s="22" t="inlineStr">
        <is>
          <t>Нормальная работа</t>
        </is>
      </c>
      <c r="E57" s="11" t="n">
        <v>46127.08333333334</v>
      </c>
      <c r="F57" s="11" t="n">
        <v>46147.08333333334</v>
      </c>
      <c r="G57" s="9" t="inlineStr">
        <is>
          <t>norm_work — чисто нормальная работа</t>
        </is>
      </c>
      <c r="H57" s="11" t="n"/>
      <c r="I57" s="11" t="n"/>
      <c r="J57" s="11" t="n"/>
      <c r="K57" s="11" t="n"/>
      <c r="L57" s="14">
        <f>M57/N57</f>
        <v/>
      </c>
      <c r="M57" s="4">
        <f>I57-H57</f>
        <v/>
      </c>
      <c r="N57" s="26">
        <f>F57-E57</f>
        <v/>
      </c>
      <c r="O57" s="30" t="inlineStr">
        <is>
          <t>norm_work</t>
        </is>
      </c>
      <c r="P57" s="33" t="inlineStr">
        <is>
          <t>254_ЮЯ_Нормальная работа.xlsx</t>
        </is>
      </c>
    </row>
    <row r="58">
      <c r="A58" s="8" t="n">
        <v>55</v>
      </c>
      <c r="B58" s="23" t="inlineStr">
        <is>
          <t>Южно-Ягунское</t>
        </is>
      </c>
      <c r="C58" s="23" t="n">
        <v>2661</v>
      </c>
      <c r="D58" s="23" t="inlineStr">
        <is>
          <t>Нормальная работа</t>
        </is>
      </c>
      <c r="E58" s="12" t="n">
        <v>46125.08333333334</v>
      </c>
      <c r="F58" s="12" t="n">
        <v>46133.08333333334</v>
      </c>
      <c r="G58" s="10" t="inlineStr">
        <is>
          <t>norm_work — чисто нормальная работа</t>
        </is>
      </c>
      <c r="H58" s="12" t="n"/>
      <c r="I58" s="12" t="n"/>
      <c r="J58" s="12" t="n"/>
      <c r="K58" s="12" t="n"/>
      <c r="L58" s="13">
        <f>M58/N58</f>
        <v/>
      </c>
      <c r="M58" s="3">
        <f>I58-H58</f>
        <v/>
      </c>
      <c r="N58" s="27">
        <f>F58-E58</f>
        <v/>
      </c>
      <c r="O58" s="29" t="inlineStr">
        <is>
          <t>norm_work</t>
        </is>
      </c>
      <c r="P58" s="32" t="inlineStr">
        <is>
          <t>2661_ЮЯ_Нормальная работа.xlsx</t>
        </is>
      </c>
    </row>
    <row r="59">
      <c r="A59" s="7" t="n">
        <v>56</v>
      </c>
      <c r="B59" s="22" t="inlineStr">
        <is>
          <t>Южно-Ягунское</t>
        </is>
      </c>
      <c r="C59" s="22" t="n">
        <v>4649</v>
      </c>
      <c r="D59" s="22" t="inlineStr">
        <is>
          <t>Нормальная работа</t>
        </is>
      </c>
      <c r="E59" s="11" t="n">
        <v>46125.08333333334</v>
      </c>
      <c r="F59" s="11" t="n">
        <v>46139.08333333334</v>
      </c>
      <c r="G59" s="9" t="inlineStr">
        <is>
          <t>norm_work — чисто нормальная работа</t>
        </is>
      </c>
      <c r="H59" s="11" t="n"/>
      <c r="I59" s="11" t="n"/>
      <c r="J59" s="11" t="n"/>
      <c r="K59" s="11" t="n"/>
      <c r="L59" s="14">
        <f>M59/N59</f>
        <v/>
      </c>
      <c r="M59" s="4">
        <f>I59-H59</f>
        <v/>
      </c>
      <c r="N59" s="26">
        <f>F59-E59</f>
        <v/>
      </c>
      <c r="O59" s="30" t="inlineStr">
        <is>
          <t>norm_work</t>
        </is>
      </c>
      <c r="P59" s="33" t="inlineStr">
        <is>
          <t>4649_ЮЯ_Нормальная работа.xlsx</t>
        </is>
      </c>
    </row>
    <row r="60">
      <c r="A60" s="8" t="n">
        <v>57</v>
      </c>
      <c r="B60" s="23" t="inlineStr">
        <is>
          <t>Южно-Ягунское</t>
        </is>
      </c>
      <c r="C60" s="23" t="n">
        <v>512</v>
      </c>
      <c r="D60" s="23" t="inlineStr">
        <is>
          <t>Нормальная работа</t>
        </is>
      </c>
      <c r="E60" s="12" t="n">
        <v>46125.08333333334</v>
      </c>
      <c r="F60" s="12" t="n">
        <v>46139.08333333334</v>
      </c>
      <c r="G60" s="10" t="inlineStr">
        <is>
          <t>norm_work — чисто нормальная работа</t>
        </is>
      </c>
      <c r="H60" s="12" t="n"/>
      <c r="I60" s="12" t="n"/>
      <c r="J60" s="12" t="n"/>
      <c r="K60" s="12" t="n"/>
      <c r="L60" s="13">
        <f>M60/N60</f>
        <v/>
      </c>
      <c r="M60" s="3">
        <f>I60-H60</f>
        <v/>
      </c>
      <c r="N60" s="27">
        <f>F60-E60</f>
        <v/>
      </c>
      <c r="O60" s="29" t="inlineStr">
        <is>
          <t>norm_work</t>
        </is>
      </c>
      <c r="P60" s="32" t="inlineStr">
        <is>
          <t>512_ЮЯ_Нормальная работа.xlsx</t>
        </is>
      </c>
    </row>
    <row r="61">
      <c r="A61" s="7" t="n">
        <v>58</v>
      </c>
      <c r="B61" s="22" t="inlineStr">
        <is>
          <t>Южно-Ягунское</t>
        </is>
      </c>
      <c r="C61" s="22" t="n">
        <v>5302</v>
      </c>
      <c r="D61" s="22" t="inlineStr">
        <is>
          <t>Нормальная работа</t>
        </is>
      </c>
      <c r="E61" s="11" t="n">
        <v>46127.08333333334</v>
      </c>
      <c r="F61" s="11" t="n">
        <v>46133.08333333334</v>
      </c>
      <c r="G61" s="9" t="inlineStr">
        <is>
          <t>norm_work — чисто нормальная работа</t>
        </is>
      </c>
      <c r="H61" s="11" t="n"/>
      <c r="I61" s="11" t="n"/>
      <c r="J61" s="11" t="n"/>
      <c r="K61" s="11" t="n"/>
      <c r="L61" s="14">
        <f>M61/N61</f>
        <v/>
      </c>
      <c r="M61" s="4">
        <f>I61-H61</f>
        <v/>
      </c>
      <c r="N61" s="26">
        <f>F61-E61</f>
        <v/>
      </c>
      <c r="O61" s="30" t="inlineStr">
        <is>
          <t>norm_work</t>
        </is>
      </c>
      <c r="P61" s="33" t="inlineStr">
        <is>
          <t>5302_ЮЯ_Нормальная работа.xlsx</t>
        </is>
      </c>
    </row>
    <row r="62">
      <c r="A62" s="8" t="n">
        <v>59</v>
      </c>
      <c r="B62" s="23" t="inlineStr">
        <is>
          <t>Южно-Ягунское</t>
        </is>
      </c>
      <c r="C62" s="23" t="n">
        <v>5467</v>
      </c>
      <c r="D62" s="23" t="inlineStr">
        <is>
          <t>Нормальная работа</t>
        </is>
      </c>
      <c r="E62" s="12" t="n">
        <v>46127.08333333334</v>
      </c>
      <c r="F62" s="12" t="n">
        <v>46151.08333333334</v>
      </c>
      <c r="G62" s="10" t="inlineStr">
        <is>
          <t>norm_work — чисто нормальная работа</t>
        </is>
      </c>
      <c r="H62" s="12" t="n"/>
      <c r="I62" s="12" t="n"/>
      <c r="J62" s="12" t="n"/>
      <c r="K62" s="12" t="n"/>
      <c r="L62" s="13">
        <f>M62/N62</f>
        <v/>
      </c>
      <c r="M62" s="3">
        <f>I62-H62</f>
        <v/>
      </c>
      <c r="N62" s="27">
        <f>F62-E62</f>
        <v/>
      </c>
      <c r="O62" s="29" t="inlineStr">
        <is>
          <t>norm_work</t>
        </is>
      </c>
      <c r="P62" s="32" t="inlineStr">
        <is>
          <t>5467_ЮЯ_Нормальная работа.xlsx</t>
        </is>
      </c>
    </row>
    <row r="63">
      <c r="A63" s="7" t="n">
        <v>60</v>
      </c>
      <c r="B63" s="22" t="inlineStr">
        <is>
          <t>Южно-Ягунское</t>
        </is>
      </c>
      <c r="C63" s="22" t="n">
        <v>610</v>
      </c>
      <c r="D63" s="22" t="inlineStr">
        <is>
          <t>Нормальная работа</t>
        </is>
      </c>
      <c r="E63" s="11" t="n">
        <v>46125.08333333334</v>
      </c>
      <c r="F63" s="11" t="n">
        <v>46133.08333333334</v>
      </c>
      <c r="G63" s="9" t="inlineStr">
        <is>
          <t>norm_work — чисто нормальная работа</t>
        </is>
      </c>
      <c r="H63" s="11" t="n"/>
      <c r="I63" s="11" t="n"/>
      <c r="J63" s="11" t="n"/>
      <c r="K63" s="11" t="n"/>
      <c r="L63" s="14">
        <f>M63/N63</f>
        <v/>
      </c>
      <c r="M63" s="4">
        <f>I63-H63</f>
        <v/>
      </c>
      <c r="N63" s="26">
        <f>F63-E63</f>
        <v/>
      </c>
      <c r="O63" s="30" t="inlineStr">
        <is>
          <t>norm_work</t>
        </is>
      </c>
      <c r="P63" s="33" t="inlineStr">
        <is>
          <t>610_ЮЯ_Нормальная работа.xlsx</t>
        </is>
      </c>
    </row>
    <row r="64">
      <c r="A64" s="8" t="n">
        <v>61</v>
      </c>
      <c r="B64" s="23" t="inlineStr">
        <is>
          <t>Южно-Ягунское</t>
        </is>
      </c>
      <c r="C64" s="23" t="n">
        <v>660</v>
      </c>
      <c r="D64" s="23" t="inlineStr">
        <is>
          <t>Нормальная работа</t>
        </is>
      </c>
      <c r="E64" s="12" t="n">
        <v>46139.08333333334</v>
      </c>
      <c r="F64" s="12" t="n">
        <v>46149.08333333334</v>
      </c>
      <c r="G64" s="10" t="inlineStr">
        <is>
          <t>norm_work — чисто нормальная работа</t>
        </is>
      </c>
      <c r="H64" s="12" t="n"/>
      <c r="I64" s="12" t="n"/>
      <c r="J64" s="12" t="n"/>
      <c r="K64" s="12" t="n"/>
      <c r="L64" s="13">
        <f>M64/N64</f>
        <v/>
      </c>
      <c r="M64" s="3">
        <f>I64-H64</f>
        <v/>
      </c>
      <c r="N64" s="27">
        <f>F64-E64</f>
        <v/>
      </c>
      <c r="O64" s="29" t="inlineStr">
        <is>
          <t>norm_work</t>
        </is>
      </c>
      <c r="P64" s="32" t="inlineStr">
        <is>
          <t>660_ЮЯ_Нормальная работа.xlsx</t>
        </is>
      </c>
    </row>
    <row r="65">
      <c r="A65" s="7" t="n">
        <v>62</v>
      </c>
      <c r="B65" s="22" t="inlineStr">
        <is>
          <t>Южно-Ягунское</t>
        </is>
      </c>
      <c r="C65" s="22" t="n">
        <v>662</v>
      </c>
      <c r="D65" s="22" t="inlineStr">
        <is>
          <t>Нормальная работа</t>
        </is>
      </c>
      <c r="E65" s="11" t="n">
        <v>46125.08333333334</v>
      </c>
      <c r="F65" s="11" t="n">
        <v>46137.08333333334</v>
      </c>
      <c r="G65" s="9" t="inlineStr">
        <is>
          <t>norm_work — чисто нормальная работа</t>
        </is>
      </c>
      <c r="H65" s="11" t="n"/>
      <c r="I65" s="11" t="n"/>
      <c r="J65" s="11" t="n"/>
      <c r="K65" s="11" t="n"/>
      <c r="L65" s="14">
        <f>M65/N65</f>
        <v/>
      </c>
      <c r="M65" s="4">
        <f>I65-H65</f>
        <v/>
      </c>
      <c r="N65" s="26">
        <f>F65-E65</f>
        <v/>
      </c>
      <c r="O65" s="30" t="inlineStr">
        <is>
          <t>norm_work</t>
        </is>
      </c>
      <c r="P65" s="33" t="inlineStr">
        <is>
          <t>662_ЮЯ_Нормальная работа.xlsx</t>
        </is>
      </c>
    </row>
    <row r="66" ht="15" customHeight="1" thickBot="1">
      <c r="A66" s="15" t="n">
        <v>63</v>
      </c>
      <c r="B66" s="24" t="inlineStr">
        <is>
          <t>Южно-Ягунское</t>
        </is>
      </c>
      <c r="C66" s="24" t="n">
        <v>8016</v>
      </c>
      <c r="D66" s="24" t="inlineStr">
        <is>
          <t>Нормальная работа</t>
        </is>
      </c>
      <c r="E66" s="16" t="n">
        <v>46137.08333333334</v>
      </c>
      <c r="F66" s="16" t="n">
        <v>46151.08333333334</v>
      </c>
      <c r="G66" s="18" t="inlineStr">
        <is>
          <t>norm_work — чисто нормальная работа</t>
        </is>
      </c>
      <c r="H66" s="16" t="n"/>
      <c r="I66" s="16" t="n"/>
      <c r="J66" s="16" t="n"/>
      <c r="K66" s="16" t="n"/>
      <c r="L66" s="17">
        <f>M66/N66</f>
        <v/>
      </c>
      <c r="M66" s="21">
        <f>I66-H66</f>
        <v/>
      </c>
      <c r="N66" s="28">
        <f>F66-E66</f>
        <v/>
      </c>
      <c r="O66" s="31" t="inlineStr">
        <is>
          <t>norm_work</t>
        </is>
      </c>
      <c r="P66" s="34" t="inlineStr">
        <is>
          <t>8016_ЮЯ_Нормальная работа.xlsx</t>
        </is>
      </c>
    </row>
    <row r="74" ht="15" customHeight="1"/>
    <row r="94" ht="15" customHeight="1"/>
  </sheetData>
  <autoFilter ref="A3:P94"/>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2026-01-29T19:12:52Z</dcterms:created>
  <dcterms:modified xsi:type="dcterms:W3CDTF">2026-05-29T14:46:30Z</dcterms:modified>
  <cp:lastModifiedBy>Chics Razer</cp:lastModifiedBy>
</cp:coreProperties>
</file>