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Лист1" sheetId="1" state="visible" r:id="rId1"/>
  </sheets>
  <definedNames/>
  <calcPr calcId="191029" fullCalcOnLoad="1"/>
</workbook>
</file>

<file path=xl/styles.xml><?xml version="1.0" encoding="utf-8"?>
<styleSheet xmlns="http://schemas.openxmlformats.org/spreadsheetml/2006/main">
  <numFmts count="3">
    <numFmt numFmtId="164" formatCode="0.0"/>
    <numFmt numFmtId="165" formatCode="dd.mm.yyyy hh:mm:ss"/>
    <numFmt numFmtId="166" formatCode="yyyy-mm-dd h:mm:ss"/>
  </numFmts>
  <fonts count="7">
    <font>
      <name val="Calibri"/>
      <charset val="204"/>
      <family val="2"/>
      <color theme="1"/>
      <sz val="11"/>
      <scheme val="minor"/>
    </font>
    <font>
      <name val="Times New Roman"/>
      <family val="1"/>
      <sz val="9"/>
    </font>
    <font>
      <name val="Calibri"/>
      <charset val="204"/>
      <family val="2"/>
      <color theme="1"/>
      <sz val="11"/>
      <scheme val="minor"/>
    </font>
    <font>
      <name val="Calibri"/>
      <color rgb="FF000000"/>
      <sz val="11"/>
      <scheme val="minor"/>
    </font>
    <font>
      <name val="Calibri"/>
      <charset val="204"/>
      <family val="2"/>
      <b val="1"/>
      <color rgb="FFFFFFFF"/>
      <sz val="11"/>
      <scheme val="minor"/>
    </font>
    <font>
      <name val="Calibri"/>
      <color rgb="FF000000"/>
      <sz val="10"/>
      <scheme val="minor"/>
    </font>
    <font>
      <name val="Calibri"/>
      <color rgb="FF7F7F7F"/>
      <sz val="11"/>
      <scheme val="minor"/>
    </font>
  </fonts>
  <fills count="7">
    <fill>
      <patternFill/>
    </fill>
    <fill>
      <patternFill patternType="gray125"/>
    </fill>
    <fill>
      <patternFill patternType="solid">
        <fgColor rgb="FF92D050"/>
        <bgColor indexed="64"/>
      </patternFill>
    </fill>
    <fill>
      <patternFill patternType="solid">
        <fgColor rgb="FFF2F5FA"/>
        <bgColor indexed="64"/>
      </patternFill>
    </fill>
    <fill>
      <patternFill patternType="solid">
        <fgColor rgb="FFFFFFFF"/>
        <bgColor indexed="64"/>
      </patternFill>
    </fill>
    <fill>
      <patternFill patternType="solid">
        <fgColor rgb="FFFFF4CE"/>
        <bgColor indexed="64"/>
      </patternFill>
    </fill>
    <fill>
      <patternFill patternType="solid">
        <fgColor rgb="FF1F3864"/>
        <bgColor indexed="64"/>
      </patternFill>
    </fill>
  </fills>
  <borders count="13">
    <border>
      <left/>
      <right/>
      <top/>
      <bottom/>
      <diagonal/>
    </border>
    <border>
      <left style="thin">
        <color rgb="FFD0D7E5"/>
      </left>
      <right style="thin">
        <color rgb="FFD0D7E5"/>
      </right>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medium">
        <color rgb="FF1F3864"/>
      </bottom>
      <diagonal/>
    </border>
    <border>
      <left style="medium">
        <color rgb="FF1F3864"/>
      </left>
      <right style="thin">
        <color rgb="FFD0D7E5"/>
      </right>
      <top style="thin">
        <color rgb="FFD0D7E5"/>
      </top>
      <bottom style="thin">
        <color rgb="FFD0D7E5"/>
      </bottom>
      <diagonal/>
    </border>
    <border>
      <left style="medium">
        <color rgb="FF1F3864"/>
      </left>
      <right style="thin">
        <color rgb="FFD0D7E5"/>
      </right>
      <top style="thin">
        <color rgb="FFD0D7E5"/>
      </top>
      <bottom style="medium">
        <color rgb="FF1F3864"/>
      </bottom>
      <diagonal/>
    </border>
    <border>
      <left style="thin">
        <color rgb="FFD0D7E5"/>
      </left>
      <right style="medium">
        <color rgb="FF1F3864"/>
      </right>
      <top style="thin">
        <color rgb="FFD0D7E5"/>
      </top>
      <bottom style="thin">
        <color rgb="FFD0D7E5"/>
      </bottom>
      <diagonal/>
    </border>
    <border>
      <left style="thin">
        <color rgb="FFD0D7E5"/>
      </left>
      <right style="medium">
        <color rgb="FF1F3864"/>
      </right>
      <top style="thin">
        <color rgb="FFD0D7E5"/>
      </top>
      <bottom style="medium">
        <color rgb="FF1F3864"/>
      </bottom>
      <diagonal/>
    </border>
    <border>
      <left style="medium">
        <color rgb="FF1F3864"/>
      </left>
      <right style="thin">
        <color rgb="FFD0D7E5"/>
      </right>
      <top/>
      <bottom style="thin">
        <color rgb="FFD0D7E5"/>
      </bottom>
      <diagonal/>
    </border>
    <border>
      <left style="thin">
        <color rgb="FFD0D7E5"/>
      </left>
      <right style="medium">
        <color rgb="FF1F3864"/>
      </right>
      <top/>
      <bottom style="thin">
        <color rgb="FFD0D7E5"/>
      </bottom>
      <diagonal/>
    </border>
    <border>
      <left style="medium">
        <color rgb="FF1F3864"/>
      </left>
      <right style="thin">
        <color rgb="FFD0D7E5"/>
      </right>
      <top style="medium">
        <color rgb="FF1F3864"/>
      </top>
      <bottom style="medium">
        <color rgb="FF1F3864"/>
      </bottom>
      <diagonal/>
    </border>
    <border>
      <left style="thin">
        <color rgb="FFD0D7E5"/>
      </left>
      <right style="thin">
        <color rgb="FFD0D7E5"/>
      </right>
      <top style="medium">
        <color rgb="FF1F3864"/>
      </top>
      <bottom style="medium">
        <color rgb="FF1F3864"/>
      </bottom>
      <diagonal/>
    </border>
    <border>
      <left style="thin">
        <color rgb="FFD0D7E5"/>
      </left>
      <right style="medium">
        <color rgb="FF1F3864"/>
      </right>
      <top style="medium">
        <color rgb="FF1F3864"/>
      </top>
      <bottom style="medium">
        <color rgb="FF1F3864"/>
      </bottom>
      <diagonal/>
    </border>
  </borders>
  <cellStyleXfs count="3">
    <xf numFmtId="0" fontId="2" fillId="0" borderId="0"/>
    <xf numFmtId="0" fontId="1" fillId="0" borderId="0"/>
    <xf numFmtId="9" fontId="2" fillId="0" borderId="0"/>
  </cellStyleXfs>
  <cellXfs count="48">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0" fillId="2" borderId="0" applyAlignment="1" pivotButton="0" quotePrefix="0" xfId="0">
      <alignment horizontal="center"/>
    </xf>
    <xf numFmtId="0" fontId="3" fillId="3" borderId="2" applyAlignment="1" pivotButton="0" quotePrefix="0" xfId="0">
      <alignment horizontal="center" vertical="center"/>
    </xf>
    <xf numFmtId="22" fontId="3" fillId="3" borderId="2" applyAlignment="1" pivotButton="0" quotePrefix="0" xfId="0">
      <alignment horizontal="center" vertical="center"/>
    </xf>
    <xf numFmtId="9" fontId="3" fillId="3" borderId="2" applyAlignment="1" pivotButton="0" quotePrefix="0" xfId="2">
      <alignment horizontal="center" vertical="center"/>
    </xf>
    <xf numFmtId="164" fontId="3" fillId="3" borderId="2" applyAlignment="1" pivotButton="0" quotePrefix="0" xfId="0">
      <alignment horizontal="center" vertical="center"/>
    </xf>
    <xf numFmtId="0" fontId="3" fillId="4" borderId="2" applyAlignment="1" pivotButton="0" quotePrefix="0" xfId="0">
      <alignment horizontal="center" vertical="center"/>
    </xf>
    <xf numFmtId="22" fontId="3" fillId="4" borderId="2" applyAlignment="1" pivotButton="0" quotePrefix="0" xfId="0">
      <alignment horizontal="center" vertical="center"/>
    </xf>
    <xf numFmtId="9" fontId="3" fillId="4" borderId="2" applyAlignment="1" pivotButton="0" quotePrefix="0" xfId="2">
      <alignment horizontal="center" vertical="center"/>
    </xf>
    <xf numFmtId="164" fontId="3" fillId="4" borderId="2" applyAlignment="1" pivotButton="0" quotePrefix="0" xfId="0">
      <alignment horizontal="center" vertical="center"/>
    </xf>
    <xf numFmtId="9" fontId="3" fillId="5" borderId="2" applyAlignment="1" pivotButton="0" quotePrefix="0" xfId="2">
      <alignment horizontal="center" vertical="center"/>
    </xf>
    <xf numFmtId="164" fontId="3" fillId="5" borderId="2" applyAlignment="1" pivotButton="0" quotePrefix="0" xfId="0">
      <alignment horizontal="center" vertical="center"/>
    </xf>
    <xf numFmtId="14" fontId="3" fillId="4" borderId="2" applyAlignment="1" pivotButton="0" quotePrefix="0" xfId="0">
      <alignment horizontal="center" vertical="center"/>
    </xf>
    <xf numFmtId="14" fontId="3" fillId="3" borderId="2" applyAlignment="1" pivotButton="0" quotePrefix="0" xfId="0">
      <alignment horizontal="center" vertical="center"/>
    </xf>
    <xf numFmtId="0" fontId="3" fillId="3" borderId="3" applyAlignment="1" pivotButton="0" quotePrefix="0" xfId="0">
      <alignment horizontal="center" vertical="center"/>
    </xf>
    <xf numFmtId="14" fontId="3" fillId="3" borderId="3" applyAlignment="1" pivotButton="0" quotePrefix="0" xfId="0">
      <alignment horizontal="center" vertical="center"/>
    </xf>
    <xf numFmtId="9" fontId="3" fillId="3" borderId="3" applyAlignment="1" pivotButton="0" quotePrefix="0" xfId="2">
      <alignment horizontal="center" vertical="center"/>
    </xf>
    <xf numFmtId="164" fontId="3" fillId="3" borderId="3" applyAlignment="1" pivotButton="0" quotePrefix="0" xfId="0">
      <alignment horizontal="center" vertical="center"/>
    </xf>
    <xf numFmtId="164" fontId="3" fillId="3" borderId="6" applyAlignment="1" pivotButton="0" quotePrefix="0" xfId="0">
      <alignment horizontal="center" vertical="center"/>
    </xf>
    <xf numFmtId="164" fontId="3" fillId="4" borderId="6" applyAlignment="1" pivotButton="0" quotePrefix="0" xfId="0">
      <alignment horizontal="center" vertical="center"/>
    </xf>
    <xf numFmtId="164" fontId="3" fillId="5" borderId="6" applyAlignment="1" pivotButton="0" quotePrefix="0" xfId="0">
      <alignment horizontal="center" vertical="center"/>
    </xf>
    <xf numFmtId="164" fontId="3" fillId="3" borderId="7" applyAlignment="1" pivotButton="0" quotePrefix="0" xfId="0">
      <alignment horizontal="center" vertical="center"/>
    </xf>
    <xf numFmtId="0" fontId="3" fillId="3" borderId="1" applyAlignment="1" pivotButton="0" quotePrefix="0" xfId="0">
      <alignment horizontal="center" vertical="center"/>
    </xf>
    <xf numFmtId="22" fontId="3" fillId="3" borderId="1" applyAlignment="1" pivotButton="0" quotePrefix="0" xfId="0">
      <alignment horizontal="center" vertical="center"/>
    </xf>
    <xf numFmtId="9" fontId="3" fillId="3" borderId="1" applyAlignment="1" pivotButton="0" quotePrefix="0" xfId="2">
      <alignment horizontal="center" vertical="center"/>
    </xf>
    <xf numFmtId="164" fontId="3" fillId="3" borderId="1" applyAlignment="1" pivotButton="0" quotePrefix="0" xfId="0">
      <alignment horizontal="center" vertical="center"/>
    </xf>
    <xf numFmtId="164" fontId="3" fillId="3" borderId="9" applyAlignment="1" pivotButton="0" quotePrefix="0" xfId="0">
      <alignment horizontal="center" vertical="center"/>
    </xf>
    <xf numFmtId="0" fontId="4" fillId="6" borderId="10" applyAlignment="1" pivotButton="0" quotePrefix="0" xfId="0">
      <alignment horizontal="center" vertical="center" wrapText="1"/>
    </xf>
    <xf numFmtId="0" fontId="4" fillId="6" borderId="11" applyAlignment="1" pivotButton="0" quotePrefix="0" xfId="0">
      <alignment horizontal="center" vertical="center" wrapText="1"/>
    </xf>
    <xf numFmtId="0" fontId="4" fillId="6" borderId="12" applyAlignment="1" pivotButton="0" quotePrefix="0" xfId="0">
      <alignment horizontal="center" vertical="center" wrapText="1"/>
    </xf>
    <xf numFmtId="0" fontId="3" fillId="5" borderId="2" applyAlignment="1" pivotButton="0" quotePrefix="0" xfId="0">
      <alignment horizontal="center" vertical="center"/>
    </xf>
    <xf numFmtId="22" fontId="3" fillId="5" borderId="2" applyAlignment="1" pivotButton="0" quotePrefix="0" xfId="0">
      <alignment horizontal="center" vertical="center"/>
    </xf>
    <xf numFmtId="14" fontId="3" fillId="5" borderId="2" applyAlignment="1" pivotButton="0" quotePrefix="0" xfId="0">
      <alignment horizontal="center" vertical="center"/>
    </xf>
    <xf numFmtId="0" fontId="5" fillId="3" borderId="1" applyAlignment="1" pivotButton="0" quotePrefix="0" xfId="0">
      <alignment horizontal="left" vertical="top" wrapText="1"/>
    </xf>
    <xf numFmtId="0" fontId="5" fillId="4" borderId="2" applyAlignment="1" pivotButton="0" quotePrefix="0" xfId="0">
      <alignment horizontal="left" vertical="top" wrapText="1"/>
    </xf>
    <xf numFmtId="0" fontId="5" fillId="3" borderId="2" applyAlignment="1" pivotButton="0" quotePrefix="0" xfId="0">
      <alignment horizontal="left" vertical="top" wrapText="1"/>
    </xf>
    <xf numFmtId="0" fontId="5" fillId="5" borderId="2" applyAlignment="1" pivotButton="0" quotePrefix="0" xfId="0">
      <alignment horizontal="left" vertical="top" wrapText="1"/>
    </xf>
    <xf numFmtId="0" fontId="5" fillId="3" borderId="3" applyAlignment="1" pivotButton="0" quotePrefix="0" xfId="0">
      <alignment horizontal="left" vertical="top" wrapText="1"/>
    </xf>
    <xf numFmtId="0" fontId="6" fillId="3" borderId="8" applyAlignment="1" pivotButton="0" quotePrefix="0" xfId="0">
      <alignment horizontal="center" vertical="center"/>
    </xf>
    <xf numFmtId="0" fontId="6" fillId="4" borderId="4" applyAlignment="1" pivotButton="0" quotePrefix="0" xfId="0">
      <alignment horizontal="center" vertical="center"/>
    </xf>
    <xf numFmtId="0" fontId="6" fillId="3" borderId="4" applyAlignment="1" pivotButton="0" quotePrefix="0" xfId="0">
      <alignment horizontal="center" vertical="center"/>
    </xf>
    <xf numFmtId="0" fontId="6" fillId="5" borderId="4" applyAlignment="1" pivotButton="0" quotePrefix="0" xfId="0">
      <alignment horizontal="center" vertical="center"/>
    </xf>
    <xf numFmtId="0" fontId="6" fillId="3" borderId="5" applyAlignment="1" pivotButton="0" quotePrefix="0" xfId="0">
      <alignment horizontal="center" vertical="center"/>
    </xf>
    <xf numFmtId="165" fontId="3" fillId="4" borderId="2" applyAlignment="1" pivotButton="0" quotePrefix="0" xfId="0">
      <alignment horizontal="center" vertical="center"/>
    </xf>
    <xf numFmtId="165" fontId="3" fillId="3" borderId="2" applyAlignment="1" pivotButton="0" quotePrefix="0" xfId="0">
      <alignment horizontal="center" vertical="center"/>
    </xf>
    <xf numFmtId="165" fontId="3" fillId="3" borderId="3" applyAlignment="1" pivotButton="0" quotePrefix="0" xfId="0">
      <alignment horizontal="center" vertical="center"/>
    </xf>
  </cellXfs>
  <cellStyles count="3">
    <cellStyle name="Обычный" xfId="0" builtinId="0"/>
    <cellStyle name="Обычный 5" xfId="1"/>
    <cellStyle name="Процентный"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3:N34"/>
  <sheetViews>
    <sheetView tabSelected="1" topLeftCell="B1" zoomScale="70" zoomScaleNormal="70" workbookViewId="0">
      <pane ySplit="3" topLeftCell="A10" activePane="bottomLeft" state="frozen"/>
      <selection activeCell="B1" sqref="B1"/>
      <selection pane="bottomLeft" activeCell="I17" sqref="I17"/>
    </sheetView>
  </sheetViews>
  <sheetFormatPr baseColWidth="8" defaultColWidth="8.90625" defaultRowHeight="14.5"/>
  <cols>
    <col width="6.36328125" customWidth="1" style="1" min="1" max="1"/>
    <col width="25.453125" customWidth="1" style="1" min="2" max="2"/>
    <col width="13.6328125" customWidth="1" style="1" min="3" max="3"/>
    <col width="24.54296875" customWidth="1" style="1" min="4" max="4"/>
    <col width="21.81640625" customWidth="1" style="1" min="5" max="6"/>
    <col width="76.36328125" customWidth="1" style="1" min="7" max="7"/>
    <col width="20.90625" customWidth="1" style="1" min="8" max="11"/>
    <col width="17.26953125" customWidth="1" style="1" min="12" max="12"/>
    <col width="17.26953125" customWidth="1" style="2" min="13" max="14"/>
    <col width="8.90625" customWidth="1" style="1" min="15" max="16384"/>
  </cols>
  <sheetData>
    <row r="2" ht="15" customHeight="1" thickBot="1"/>
    <row r="3" ht="40" customHeight="1" thickBot="1">
      <c r="A3" s="29" t="inlineStr">
        <is>
          <t>№</t>
        </is>
      </c>
      <c r="B3" s="30" t="inlineStr">
        <is>
          <t>Месторождение</t>
        </is>
      </c>
      <c r="C3" s="30" t="inlineStr">
        <is>
          <t>Скважина</t>
        </is>
      </c>
      <c r="D3" s="30" t="inlineStr">
        <is>
          <t>Тип аномалии</t>
        </is>
      </c>
      <c r="E3" s="30" t="inlineStr">
        <is>
          <t>Дата начала выгрузки</t>
        </is>
      </c>
      <c r="F3" s="30" t="inlineStr">
        <is>
          <t>Дата конца выгрузки</t>
        </is>
      </c>
      <c r="G3" s="30" t="inlineStr">
        <is>
          <t>Комментарий</t>
        </is>
      </c>
      <c r="H3" s="30" t="inlineStr">
        <is>
          <t>Дата начала аномалии</t>
        </is>
      </c>
      <c r="I3" s="30" t="inlineStr">
        <is>
          <t>Дата конца аномалии</t>
        </is>
      </c>
      <c r="J3" s="30" t="inlineStr">
        <is>
          <t>Дата начала аномалии</t>
        </is>
      </c>
      <c r="K3" s="30" t="inlineStr">
        <is>
          <t>Дата конца аномалии</t>
        </is>
      </c>
      <c r="L3" s="30" t="inlineStr">
        <is>
          <t>% аномалии от общей выгрузки</t>
        </is>
      </c>
      <c r="M3" s="30" t="inlineStr">
        <is>
          <t>Время аномалии</t>
        </is>
      </c>
      <c r="N3" s="31" t="inlineStr">
        <is>
          <t>Общее время выгрузки</t>
        </is>
      </c>
    </row>
    <row r="4" ht="91" customHeight="1">
      <c r="A4" s="40" t="n">
        <v>1</v>
      </c>
      <c r="B4" s="24" t="inlineStr">
        <is>
          <t>Кустовое</t>
        </is>
      </c>
      <c r="C4" s="24" t="inlineStr">
        <is>
          <t>3244Г</t>
        </is>
      </c>
      <c r="D4" s="24" t="inlineStr">
        <is>
          <t>Соли</t>
        </is>
      </c>
      <c r="E4" s="25" t="n">
        <v>45962.08333333334</v>
      </c>
      <c r="F4" s="25" t="n">
        <v>46023.08333333334</v>
      </c>
      <c r="G4" s="35" t="inlineStr">
        <is>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is>
      </c>
      <c r="H4" s="25" t="n">
        <v>45984</v>
      </c>
      <c r="I4" s="25" t="n">
        <v>46020.66666666666</v>
      </c>
      <c r="J4" s="24" t="n"/>
      <c r="K4" s="24" t="n"/>
      <c r="L4" s="26">
        <f>M4/N4</f>
        <v/>
      </c>
      <c r="M4" s="27">
        <f>I4-H4</f>
        <v/>
      </c>
      <c r="N4" s="28">
        <f>F4-E4</f>
        <v/>
      </c>
    </row>
    <row r="5" ht="117" customHeight="1">
      <c r="A5" s="41" t="n">
        <v>2</v>
      </c>
      <c r="B5" s="8" t="inlineStr">
        <is>
          <t>Кустовое</t>
        </is>
      </c>
      <c r="C5" s="8" t="n">
        <v>3245</v>
      </c>
      <c r="D5" s="8" t="inlineStr">
        <is>
          <t>Соли</t>
        </is>
      </c>
      <c r="E5" s="9" t="n">
        <v>45658.08333333334</v>
      </c>
      <c r="F5" s="9" t="n">
        <v>45789.08333333334</v>
      </c>
      <c r="G5" s="36" t="inlineStr">
        <is>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is>
      </c>
      <c r="H5" s="9" t="n">
        <v>45761.69722222222</v>
      </c>
      <c r="I5" s="9" t="n">
        <v>45789.08333333334</v>
      </c>
      <c r="J5" s="14" t="n"/>
      <c r="K5" s="14" t="n"/>
      <c r="L5" s="10">
        <f>M5/N5</f>
        <v/>
      </c>
      <c r="M5" s="11">
        <f>I5-H5</f>
        <v/>
      </c>
      <c r="N5" s="21">
        <f>F5-E5</f>
        <v/>
      </c>
    </row>
    <row r="6" ht="39" customHeight="1">
      <c r="A6" s="42" t="n">
        <v>3</v>
      </c>
      <c r="B6" s="4" t="inlineStr">
        <is>
          <t>Восточно-Икилорское</t>
        </is>
      </c>
      <c r="C6" s="4" t="inlineStr">
        <is>
          <t>149г</t>
        </is>
      </c>
      <c r="D6" s="4" t="inlineStr">
        <is>
          <t>Соли</t>
        </is>
      </c>
      <c r="E6" s="5" t="n">
        <v>45809.08333333334</v>
      </c>
      <c r="F6" s="5" t="n">
        <v>45836.08333333334</v>
      </c>
      <c r="G6" s="37" t="inlineStr">
        <is>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is>
      </c>
      <c r="H6" s="5" t="n">
        <v>45828.63333333333</v>
      </c>
      <c r="I6" s="5" t="n">
        <v>45836.08333333334</v>
      </c>
      <c r="J6" s="4" t="n"/>
      <c r="K6" s="4" t="n"/>
      <c r="L6" s="6">
        <f>M6/N6</f>
        <v/>
      </c>
      <c r="M6" s="7">
        <f>I6-H6</f>
        <v/>
      </c>
      <c r="N6" s="20">
        <f>F6-E6</f>
        <v/>
      </c>
    </row>
    <row r="7" ht="65" customHeight="1">
      <c r="A7" s="41" t="n">
        <v>4</v>
      </c>
      <c r="B7" s="8" t="inlineStr">
        <is>
          <t>Кустовое</t>
        </is>
      </c>
      <c r="C7" s="8" t="n">
        <v>3269</v>
      </c>
      <c r="D7" s="8" t="inlineStr">
        <is>
          <t>Соли</t>
        </is>
      </c>
      <c r="E7" s="9" t="n">
        <v>45931.08333333334</v>
      </c>
      <c r="F7" s="9" t="n">
        <v>45959.08333333334</v>
      </c>
      <c r="G7" s="36" t="inlineStr">
        <is>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is>
      </c>
      <c r="H7" s="9" t="n">
        <v>45945.08333333334</v>
      </c>
      <c r="I7" s="9" t="n">
        <v>45957.48958333334</v>
      </c>
      <c r="J7" s="8" t="n"/>
      <c r="K7" s="8" t="n"/>
      <c r="L7" s="10">
        <f>M7/N7</f>
        <v/>
      </c>
      <c r="M7" s="11">
        <f>I7-H7</f>
        <v/>
      </c>
      <c r="N7" s="21">
        <f>F7-E7</f>
        <v/>
      </c>
    </row>
    <row r="8" ht="39" customHeight="1">
      <c r="A8" s="42" t="n">
        <v>5</v>
      </c>
      <c r="B8" s="4" t="inlineStr">
        <is>
          <t>Дружное</t>
        </is>
      </c>
      <c r="C8" s="4" t="n">
        <v>4039</v>
      </c>
      <c r="D8" s="4" t="inlineStr">
        <is>
          <t>Соли</t>
        </is>
      </c>
      <c r="E8" s="5" t="n">
        <v>45748.08333333334</v>
      </c>
      <c r="F8" s="5" t="n">
        <v>45931.08333333334</v>
      </c>
      <c r="G8" s="37" t="inlineStr">
        <is>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is>
      </c>
      <c r="H8" s="5" t="n">
        <v>45806.45833333334</v>
      </c>
      <c r="I8" s="5" t="n">
        <v>45815.63194444445</v>
      </c>
      <c r="J8" s="4" t="n"/>
      <c r="K8" s="4" t="n"/>
      <c r="L8" s="6">
        <f>M8/N8</f>
        <v/>
      </c>
      <c r="M8" s="7">
        <f>I8-H8</f>
        <v/>
      </c>
      <c r="N8" s="20">
        <f>F8-E8</f>
        <v/>
      </c>
    </row>
    <row r="9" ht="65" customHeight="1">
      <c r="A9" s="41" t="n">
        <v>6</v>
      </c>
      <c r="B9" s="8" t="inlineStr">
        <is>
          <t>Дружное</t>
        </is>
      </c>
      <c r="C9" s="8" t="n">
        <v>408</v>
      </c>
      <c r="D9" s="8" t="inlineStr">
        <is>
          <t>Соли</t>
        </is>
      </c>
      <c r="E9" s="9" t="n">
        <v>45748.08333333334</v>
      </c>
      <c r="F9" s="9" t="n">
        <v>45900.08333333334</v>
      </c>
      <c r="G9" s="36" t="inlineStr">
        <is>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is>
      </c>
      <c r="H9" s="9" t="n">
        <v>45810.19444444445</v>
      </c>
      <c r="I9" s="9" t="n">
        <v>45834.47222222222</v>
      </c>
      <c r="J9" s="9" t="n">
        <v>45860.79166666666</v>
      </c>
      <c r="K9" s="9" t="n">
        <v>45892.61388888889</v>
      </c>
      <c r="L9" s="10">
        <f>M9/N9</f>
        <v/>
      </c>
      <c r="M9" s="11">
        <f>I9-H9</f>
        <v/>
      </c>
      <c r="N9" s="21">
        <f>F9-E9</f>
        <v/>
      </c>
    </row>
    <row r="10" ht="91" customHeight="1">
      <c r="A10" s="42" t="n">
        <v>7</v>
      </c>
      <c r="B10" s="4" t="inlineStr">
        <is>
          <t>Кустовое</t>
        </is>
      </c>
      <c r="C10" s="4" t="inlineStr">
        <is>
          <t>3245(2)</t>
        </is>
      </c>
      <c r="D10" s="4" t="inlineStr">
        <is>
          <t>Соли</t>
        </is>
      </c>
      <c r="E10" s="5" t="n">
        <v>45870.08333333334</v>
      </c>
      <c r="F10" s="5" t="n">
        <v>45968.08333333334</v>
      </c>
      <c r="G10" s="37" t="inlineStr">
        <is>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is>
      </c>
      <c r="H10" s="5" t="n">
        <v>45934.08333333334</v>
      </c>
      <c r="I10" s="5" t="n">
        <v>45968.08333333334</v>
      </c>
      <c r="J10" s="4" t="n"/>
      <c r="K10" s="4" t="n"/>
      <c r="L10" s="6">
        <f>M10/N10</f>
        <v/>
      </c>
      <c r="M10" s="7">
        <f>I10-H10</f>
        <v/>
      </c>
      <c r="N10" s="20">
        <f>F10-E10</f>
        <v/>
      </c>
    </row>
    <row r="11" customFormat="1" s="3">
      <c r="A11" s="41" t="n">
        <v>8</v>
      </c>
      <c r="B11" s="8" t="inlineStr">
        <is>
          <t>Южно-Ягунское</t>
        </is>
      </c>
      <c r="C11" s="8" t="inlineStr">
        <is>
          <t>5271г</t>
        </is>
      </c>
      <c r="D11" s="8" t="inlineStr">
        <is>
          <t>Негерметичность НКТ</t>
        </is>
      </c>
      <c r="E11" s="9" t="n">
        <v>45883.08333333334</v>
      </c>
      <c r="F11" s="9" t="n">
        <v>45885.08333333334</v>
      </c>
      <c r="G11" s="36" t="n"/>
      <c r="H11" s="9" t="n">
        <v>45884.02569444444</v>
      </c>
      <c r="I11" s="9" t="n">
        <v>45884.11527777778</v>
      </c>
      <c r="J11" s="8" t="n"/>
      <c r="K11" s="8" t="n"/>
      <c r="L11" s="10">
        <f>M11/N11</f>
        <v/>
      </c>
      <c r="M11" s="11">
        <f>I11-H11</f>
        <v/>
      </c>
      <c r="N11" s="21">
        <f>F11-E11</f>
        <v/>
      </c>
    </row>
    <row r="12" customFormat="1" s="3">
      <c r="A12" s="42" t="n">
        <v>9</v>
      </c>
      <c r="B12" s="4" t="inlineStr">
        <is>
          <t>Южно-Ягунское</t>
        </is>
      </c>
      <c r="C12" s="4" t="n">
        <v>524</v>
      </c>
      <c r="D12" s="4" t="inlineStr">
        <is>
          <t>Негерметичность НКТ</t>
        </is>
      </c>
      <c r="E12" s="5" t="n">
        <v>45817.08333333334</v>
      </c>
      <c r="F12" s="5" t="n">
        <v>45819.08333333334</v>
      </c>
      <c r="G12" s="37" t="n"/>
      <c r="H12" s="5" t="n">
        <v>45817.81805555556</v>
      </c>
      <c r="I12" s="5" t="n">
        <v>45818.64583333334</v>
      </c>
      <c r="J12" s="4" t="n"/>
      <c r="K12" s="4" t="n"/>
      <c r="L12" s="6">
        <f>M12/N12</f>
        <v/>
      </c>
      <c r="M12" s="7">
        <f>I12-H12</f>
        <v/>
      </c>
      <c r="N12" s="20">
        <f>F12-E12</f>
        <v/>
      </c>
    </row>
    <row r="13" customFormat="1" s="3">
      <c r="A13" s="41" t="n">
        <v>10</v>
      </c>
      <c r="B13" s="8" t="inlineStr">
        <is>
          <t>Кустовое</t>
        </is>
      </c>
      <c r="C13" s="8" t="inlineStr">
        <is>
          <t>3509г</t>
        </is>
      </c>
      <c r="D13" s="8" t="inlineStr">
        <is>
          <t>Негерметичность НКТ</t>
        </is>
      </c>
      <c r="E13" s="9" t="n">
        <v>45879.08333333334</v>
      </c>
      <c r="F13" s="9" t="n">
        <v>45880.08333333334</v>
      </c>
      <c r="G13" s="36" t="n"/>
      <c r="H13" s="9" t="n">
        <v>45879.40277777778</v>
      </c>
      <c r="I13" s="9" t="n">
        <v>45879.89236111111</v>
      </c>
      <c r="J13" s="8" t="n"/>
      <c r="K13" s="8" t="n"/>
      <c r="L13" s="10">
        <f>M13/N13</f>
        <v/>
      </c>
      <c r="M13" s="11">
        <f>I13-H13</f>
        <v/>
      </c>
      <c r="N13" s="21">
        <f>F13-E13</f>
        <v/>
      </c>
    </row>
    <row r="14" customFormat="1" s="3">
      <c r="A14" s="42" t="n">
        <v>11</v>
      </c>
      <c r="B14" s="4" t="inlineStr">
        <is>
          <t>Кустовое</t>
        </is>
      </c>
      <c r="C14" s="4" t="inlineStr">
        <is>
          <t>1123л</t>
        </is>
      </c>
      <c r="D14" s="4" t="inlineStr">
        <is>
          <t>Негерметичность НКТ</t>
        </is>
      </c>
      <c r="E14" s="5" t="n">
        <v>45828.08333333334</v>
      </c>
      <c r="F14" s="5" t="n">
        <v>45830.08333333334</v>
      </c>
      <c r="G14" s="37" t="n"/>
      <c r="H14" s="5" t="n">
        <v>45829.35555555556</v>
      </c>
      <c r="I14" s="5" t="n">
        <v>45829.9875</v>
      </c>
      <c r="J14" s="4" t="n"/>
      <c r="K14" s="4" t="n"/>
      <c r="L14" s="6">
        <f>M14/N14</f>
        <v/>
      </c>
      <c r="M14" s="7">
        <f>I14-H14</f>
        <v/>
      </c>
      <c r="N14" s="20">
        <f>F14-E14</f>
        <v/>
      </c>
    </row>
    <row r="15" customFormat="1" s="3">
      <c r="A15" s="41" t="n">
        <v>12</v>
      </c>
      <c r="B15" s="8" t="inlineStr">
        <is>
          <t>Яркое</t>
        </is>
      </c>
      <c r="C15" s="8" t="inlineStr">
        <is>
          <t>172г</t>
        </is>
      </c>
      <c r="D15" s="8" t="inlineStr">
        <is>
          <t>Негерметичность НКТ</t>
        </is>
      </c>
      <c r="E15" s="9" t="n">
        <v>45775.08333333334</v>
      </c>
      <c r="F15" s="9" t="n">
        <v>45784.08333333334</v>
      </c>
      <c r="G15" s="36" t="n"/>
      <c r="H15" s="9" t="n">
        <v>45780.47916666666</v>
      </c>
      <c r="I15" s="9" t="n">
        <v>45784.08333333334</v>
      </c>
      <c r="J15" s="8" t="n"/>
      <c r="K15" s="8" t="n"/>
      <c r="L15" s="10">
        <f>M15/N15</f>
        <v/>
      </c>
      <c r="M15" s="11">
        <f>I15-H15</f>
        <v/>
      </c>
      <c r="N15" s="21">
        <f>F15-E15</f>
        <v/>
      </c>
    </row>
    <row r="16">
      <c r="A16" s="42" t="n">
        <v>13</v>
      </c>
      <c r="B16" s="4" t="inlineStr">
        <is>
          <t>Кустовое</t>
        </is>
      </c>
      <c r="C16" s="4" t="n">
        <v>3261</v>
      </c>
      <c r="D16" s="4" t="inlineStr">
        <is>
          <t>Изменение притока</t>
        </is>
      </c>
      <c r="E16" s="5" t="n">
        <v>45931.08333333334</v>
      </c>
      <c r="F16" s="5" t="n">
        <v>45966.08333333334</v>
      </c>
      <c r="G16" s="37" t="n"/>
      <c r="H16" s="15" t="n">
        <v>45953</v>
      </c>
      <c r="I16" s="5" t="n">
        <v>45966.08333333334</v>
      </c>
      <c r="J16" s="4" t="n"/>
      <c r="K16" s="4" t="n"/>
      <c r="L16" s="6">
        <f>M16/N16</f>
        <v/>
      </c>
      <c r="M16" s="7">
        <f>I16-H16</f>
        <v/>
      </c>
      <c r="N16" s="20">
        <f>F16-E16</f>
        <v/>
      </c>
    </row>
    <row r="17">
      <c r="A17" s="41" t="n">
        <v>14</v>
      </c>
      <c r="B17" s="8" t="inlineStr">
        <is>
          <t>Южно-Ягунское</t>
        </is>
      </c>
      <c r="C17" s="8" t="n">
        <v>495</v>
      </c>
      <c r="D17" s="8" t="inlineStr">
        <is>
          <t>Изменение притока</t>
        </is>
      </c>
      <c r="E17" s="9" t="n">
        <v>45922.08333333334</v>
      </c>
      <c r="F17" s="9" t="n">
        <v>45947.08333333334</v>
      </c>
      <c r="G17" s="36" t="n"/>
      <c r="H17" s="14" t="n">
        <v>45938</v>
      </c>
      <c r="I17" s="9" t="n">
        <v>45947.08333333334</v>
      </c>
      <c r="J17" s="8" t="n"/>
      <c r="K17" s="8" t="n"/>
      <c r="L17" s="10">
        <f>M17/N17</f>
        <v/>
      </c>
      <c r="M17" s="11">
        <f>I17-H17</f>
        <v/>
      </c>
      <c r="N17" s="21">
        <f>F17-E17</f>
        <v/>
      </c>
    </row>
    <row r="18">
      <c r="A18" s="43" t="n">
        <v>15</v>
      </c>
      <c r="B18" s="32" t="inlineStr">
        <is>
          <t>Южно-Ягунское</t>
        </is>
      </c>
      <c r="C18" s="32" t="n">
        <v>902</v>
      </c>
      <c r="D18" s="32" t="inlineStr">
        <is>
          <t>Изменение притока</t>
        </is>
      </c>
      <c r="E18" s="33" t="n">
        <v>45945.08333333334</v>
      </c>
      <c r="F18" s="33" t="n">
        <v>45976.08333333334</v>
      </c>
      <c r="G18" s="38" t="n"/>
      <c r="H18" s="34" t="n">
        <v>45952</v>
      </c>
      <c r="I18" s="33" t="n">
        <v>45976.08333333334</v>
      </c>
      <c r="J18" s="32" t="n"/>
      <c r="K18" s="32" t="n"/>
      <c r="L18" s="12">
        <f>M18/N18</f>
        <v/>
      </c>
      <c r="M18" s="13">
        <f>I18-H18</f>
        <v/>
      </c>
      <c r="N18" s="22">
        <f>F18-E18</f>
        <v/>
      </c>
    </row>
    <row r="19">
      <c r="A19" s="43" t="n">
        <v>16</v>
      </c>
      <c r="B19" s="32" t="inlineStr">
        <is>
          <t>Кустовое</t>
        </is>
      </c>
      <c r="C19" s="32" t="inlineStr">
        <is>
          <t>2991г</t>
        </is>
      </c>
      <c r="D19" s="32" t="inlineStr">
        <is>
          <t>Соли</t>
        </is>
      </c>
      <c r="E19" s="33" t="n">
        <v>45988.08333333334</v>
      </c>
      <c r="F19" s="33" t="n">
        <v>46015.08333333334</v>
      </c>
      <c r="G19" s="38" t="n"/>
      <c r="H19" s="33" t="n">
        <v>46002.16666666666</v>
      </c>
      <c r="I19" s="33" t="n">
        <v>46015.08333333334</v>
      </c>
      <c r="J19" s="32" t="n"/>
      <c r="K19" s="32" t="n"/>
      <c r="L19" s="12">
        <f>M19/N19</f>
        <v/>
      </c>
      <c r="M19" s="13">
        <f>I19-H19</f>
        <v/>
      </c>
      <c r="N19" s="22">
        <f>F19-E19</f>
        <v/>
      </c>
    </row>
    <row r="20">
      <c r="A20" s="43" t="n">
        <v>17</v>
      </c>
      <c r="B20" s="32" t="inlineStr">
        <is>
          <t>Южно-Ягунское</t>
        </is>
      </c>
      <c r="C20" s="32" t="inlineStr">
        <is>
          <t>129л</t>
        </is>
      </c>
      <c r="D20" s="32" t="inlineStr">
        <is>
          <t>Изменение притока</t>
        </is>
      </c>
      <c r="E20" s="33" t="n">
        <v>45992.08333333334</v>
      </c>
      <c r="F20" s="33" t="n">
        <v>46054.08333333334</v>
      </c>
      <c r="G20" s="38" t="n"/>
      <c r="H20" s="33" t="n">
        <v>46032.08333333334</v>
      </c>
      <c r="I20" s="33" t="n">
        <v>46054.08333333334</v>
      </c>
      <c r="J20" s="32" t="n"/>
      <c r="K20" s="32" t="n"/>
      <c r="L20" s="12">
        <f>M20/N20</f>
        <v/>
      </c>
      <c r="M20" s="13">
        <f>I20-H20</f>
        <v/>
      </c>
      <c r="N20" s="22">
        <f>F20-E20</f>
        <v/>
      </c>
    </row>
    <row r="21">
      <c r="A21" s="41" t="n">
        <v>18</v>
      </c>
      <c r="B21" s="8" t="inlineStr">
        <is>
          <t>Южно-Ягунское</t>
        </is>
      </c>
      <c r="C21" s="8" t="n">
        <v>1756</v>
      </c>
      <c r="D21" s="8" t="inlineStr">
        <is>
          <t>Изменение притока</t>
        </is>
      </c>
      <c r="E21" s="14" t="n">
        <v>45965</v>
      </c>
      <c r="F21" s="14" t="n">
        <v>45981</v>
      </c>
      <c r="G21" s="36" t="n"/>
      <c r="H21" s="45" t="n">
        <v>45973.00328703703</v>
      </c>
      <c r="I21" s="45" t="n">
        <v>45981</v>
      </c>
      <c r="J21" s="8" t="n"/>
      <c r="K21" s="8" t="n"/>
      <c r="L21" s="10" t="n">
        <v>0.5</v>
      </c>
      <c r="M21" s="11" t="n">
        <v>8</v>
      </c>
      <c r="N21" s="21" t="n">
        <v>16</v>
      </c>
    </row>
    <row r="22">
      <c r="A22" s="42" t="n">
        <v>19</v>
      </c>
      <c r="B22" s="4" t="inlineStr">
        <is>
          <t>Южно-Ягунское</t>
        </is>
      </c>
      <c r="C22" s="4" t="n">
        <v>816</v>
      </c>
      <c r="D22" s="4" t="inlineStr">
        <is>
          <t>Изменение притока</t>
        </is>
      </c>
      <c r="E22" s="15" t="n">
        <v>46023</v>
      </c>
      <c r="F22" s="15" t="n">
        <v>46036</v>
      </c>
      <c r="G22" s="37" t="n"/>
      <c r="H22" s="46" t="n">
        <v>46032.33898148148</v>
      </c>
      <c r="I22" s="46" t="n">
        <v>46036</v>
      </c>
      <c r="J22" s="4" t="n"/>
      <c r="K22" s="4" t="n"/>
      <c r="L22" s="6" t="n">
        <v>0.28</v>
      </c>
      <c r="M22" s="7" t="n">
        <v>3.7</v>
      </c>
      <c r="N22" s="20" t="n">
        <v>13</v>
      </c>
    </row>
    <row r="23">
      <c r="A23" s="41" t="n">
        <v>20</v>
      </c>
      <c r="B23" s="8" t="inlineStr">
        <is>
          <t>Южно-Ягунское</t>
        </is>
      </c>
      <c r="C23" s="8" t="n">
        <v>1809</v>
      </c>
      <c r="D23" s="8" t="inlineStr">
        <is>
          <t>Изменение притока</t>
        </is>
      </c>
      <c r="E23" s="14" t="n">
        <v>46016</v>
      </c>
      <c r="F23" s="14" t="n">
        <v>46047</v>
      </c>
      <c r="G23" s="36" t="n"/>
      <c r="H23" s="45" t="n">
        <v>46034.93219907407</v>
      </c>
      <c r="I23" s="45" t="n">
        <v>46047</v>
      </c>
      <c r="J23" s="8" t="n"/>
      <c r="K23" s="8" t="n"/>
      <c r="L23" s="10" t="n">
        <v>0.39</v>
      </c>
      <c r="M23" s="11" t="n">
        <v>12.1</v>
      </c>
      <c r="N23" s="21" t="n">
        <v>31</v>
      </c>
    </row>
    <row r="24">
      <c r="A24" s="42" t="n">
        <v>21</v>
      </c>
      <c r="B24" s="4" t="inlineStr">
        <is>
          <t>Южно-Ягунское</t>
        </is>
      </c>
      <c r="C24" s="4" t="n">
        <v>792</v>
      </c>
      <c r="D24" s="4" t="inlineStr">
        <is>
          <t>Изменение притока</t>
        </is>
      </c>
      <c r="E24" s="15" t="n">
        <v>45997</v>
      </c>
      <c r="F24" s="15" t="n">
        <v>46039</v>
      </c>
      <c r="G24" s="37" t="n"/>
      <c r="H24" s="46" t="n">
        <v>46024.60741898148</v>
      </c>
      <c r="I24" s="46" t="n">
        <v>46039</v>
      </c>
      <c r="J24" s="4" t="n"/>
      <c r="K24" s="4" t="n"/>
      <c r="L24" s="6" t="n">
        <v>0.34</v>
      </c>
      <c r="M24" s="7" t="n">
        <v>14.4</v>
      </c>
      <c r="N24" s="20" t="n">
        <v>42</v>
      </c>
    </row>
    <row r="25">
      <c r="A25" s="41" t="n">
        <v>22</v>
      </c>
      <c r="B25" s="8" t="inlineStr">
        <is>
          <t>Южно-Ягунское</t>
        </is>
      </c>
      <c r="C25" s="8" t="n">
        <v>1062</v>
      </c>
      <c r="D25" s="8" t="inlineStr">
        <is>
          <t>Изменение притока</t>
        </is>
      </c>
      <c r="E25" s="14" t="n">
        <v>45998</v>
      </c>
      <c r="F25" s="14" t="n">
        <v>46049</v>
      </c>
      <c r="G25" s="36" t="n"/>
      <c r="H25" s="45" t="n">
        <v>46024.60314814815</v>
      </c>
      <c r="I25" s="45" t="n">
        <v>46049</v>
      </c>
      <c r="J25" s="8" t="n"/>
      <c r="K25" s="8" t="n"/>
      <c r="L25" s="10" t="n">
        <v>0.48</v>
      </c>
      <c r="M25" s="11" t="n">
        <v>24.4</v>
      </c>
      <c r="N25" s="21" t="n">
        <v>51</v>
      </c>
    </row>
    <row r="26">
      <c r="A26" s="42" t="n">
        <v>23</v>
      </c>
      <c r="B26" s="4" t="inlineStr">
        <is>
          <t>Южно-Ягунское</t>
        </is>
      </c>
      <c r="C26" s="4" t="n">
        <v>691</v>
      </c>
      <c r="D26" s="4" t="inlineStr">
        <is>
          <t>Изменение притока</t>
        </is>
      </c>
      <c r="E26" s="15" t="n">
        <v>45987</v>
      </c>
      <c r="F26" s="15" t="n">
        <v>46029</v>
      </c>
      <c r="G26" s="37" t="n"/>
      <c r="H26" s="46" t="n">
        <v>46005.24123842592</v>
      </c>
      <c r="I26" s="46" t="n">
        <v>46020</v>
      </c>
      <c r="J26" s="46" t="n">
        <v>46025.02888888889</v>
      </c>
      <c r="K26" s="46" t="n">
        <v>46029</v>
      </c>
      <c r="L26" s="6" t="n">
        <v>0.35</v>
      </c>
      <c r="M26" s="7" t="n">
        <v>14.8</v>
      </c>
      <c r="N26" s="20" t="n">
        <v>42</v>
      </c>
    </row>
    <row r="27">
      <c r="A27" s="41" t="n">
        <v>24</v>
      </c>
      <c r="B27" s="8" t="inlineStr">
        <is>
          <t>Южно-Ягунское</t>
        </is>
      </c>
      <c r="C27" s="8" t="n">
        <v>713</v>
      </c>
      <c r="D27" s="8" t="inlineStr">
        <is>
          <t>Изменение притока</t>
        </is>
      </c>
      <c r="E27" s="14" t="n">
        <v>46012</v>
      </c>
      <c r="F27" s="14" t="n">
        <v>46039</v>
      </c>
      <c r="G27" s="36" t="n"/>
      <c r="H27" s="45" t="n">
        <v>46026.45359953704</v>
      </c>
      <c r="I27" s="45" t="n">
        <v>46039</v>
      </c>
      <c r="J27" s="8" t="n"/>
      <c r="K27" s="8" t="n"/>
      <c r="L27" s="10" t="n">
        <v>0.46</v>
      </c>
      <c r="M27" s="11" t="n">
        <v>12.5</v>
      </c>
      <c r="N27" s="21" t="n">
        <v>27</v>
      </c>
    </row>
    <row r="28">
      <c r="A28" s="42" t="n">
        <v>25</v>
      </c>
      <c r="B28" s="4" t="inlineStr">
        <is>
          <t>Южно-Ягунское</t>
        </is>
      </c>
      <c r="C28" s="4" t="n">
        <v>790</v>
      </c>
      <c r="D28" s="4" t="inlineStr">
        <is>
          <t>Изменение притока</t>
        </is>
      </c>
      <c r="E28" s="15" t="n">
        <v>46009</v>
      </c>
      <c r="F28" s="15" t="n">
        <v>46039</v>
      </c>
      <c r="G28" s="37" t="n"/>
      <c r="H28" s="46" t="n">
        <v>46024.6556712963</v>
      </c>
      <c r="I28" s="46" t="n">
        <v>46039</v>
      </c>
      <c r="J28" s="4" t="n"/>
      <c r="K28" s="4" t="n"/>
      <c r="L28" s="6" t="n">
        <v>0.48</v>
      </c>
      <c r="M28" s="7" t="n">
        <v>14.3</v>
      </c>
      <c r="N28" s="20" t="n">
        <v>30</v>
      </c>
    </row>
    <row r="29">
      <c r="A29" s="41" t="n">
        <v>26</v>
      </c>
      <c r="B29" s="8" t="inlineStr">
        <is>
          <t>Южно-Ягунское</t>
        </is>
      </c>
      <c r="C29" s="8" t="inlineStr">
        <is>
          <t>5144г</t>
        </is>
      </c>
      <c r="D29" s="8" t="inlineStr">
        <is>
          <t>Изменение притока</t>
        </is>
      </c>
      <c r="E29" s="14" t="n">
        <v>45998</v>
      </c>
      <c r="F29" s="14" t="n">
        <v>46060</v>
      </c>
      <c r="G29" s="36" t="n"/>
      <c r="H29" s="45" t="n">
        <v>46048.92982638889</v>
      </c>
      <c r="I29" s="45" t="n">
        <v>46060</v>
      </c>
      <c r="J29" s="8" t="n"/>
      <c r="K29" s="8" t="n"/>
      <c r="L29" s="10" t="n">
        <v>0.18</v>
      </c>
      <c r="M29" s="11" t="n">
        <v>11.1</v>
      </c>
      <c r="N29" s="21" t="n">
        <v>62</v>
      </c>
    </row>
    <row r="30">
      <c r="A30" s="42" t="n">
        <v>27</v>
      </c>
      <c r="B30" s="4" t="inlineStr">
        <is>
          <t>Южно-Ягунское</t>
        </is>
      </c>
      <c r="C30" s="4" t="n">
        <v>1395</v>
      </c>
      <c r="D30" s="4" t="inlineStr">
        <is>
          <t>Изменение притока</t>
        </is>
      </c>
      <c r="E30" s="15" t="n">
        <v>46037</v>
      </c>
      <c r="F30" s="15" t="n">
        <v>46082</v>
      </c>
      <c r="G30" s="37" t="n"/>
      <c r="H30" s="46" t="n">
        <v>46057.72853009259</v>
      </c>
      <c r="I30" s="46" t="n">
        <v>46082</v>
      </c>
      <c r="J30" s="46" t="n">
        <v>46073.22805555556</v>
      </c>
      <c r="K30" s="46" t="n">
        <v>46082</v>
      </c>
      <c r="L30" s="6" t="n">
        <v>0.54</v>
      </c>
      <c r="M30" s="7" t="n">
        <v>24.3</v>
      </c>
      <c r="N30" s="20" t="n">
        <v>45</v>
      </c>
    </row>
    <row r="31">
      <c r="A31" s="41" t="n">
        <v>28</v>
      </c>
      <c r="B31" s="8" t="inlineStr">
        <is>
          <t>Кустовое</t>
        </is>
      </c>
      <c r="C31" s="8" t="n">
        <v>3245</v>
      </c>
      <c r="D31" s="8" t="inlineStr">
        <is>
          <t>Изменение притока</t>
        </is>
      </c>
      <c r="E31" s="14" t="n">
        <v>46067</v>
      </c>
      <c r="F31" s="14" t="n">
        <v>46095</v>
      </c>
      <c r="G31" s="36" t="n"/>
      <c r="H31" s="45" t="n">
        <v>46084.96646990741</v>
      </c>
      <c r="I31" s="45" t="n">
        <v>46095</v>
      </c>
      <c r="J31" s="8" t="n"/>
      <c r="K31" s="8" t="n"/>
      <c r="L31" s="10" t="n">
        <v>0.36</v>
      </c>
      <c r="M31" s="11" t="n">
        <v>10</v>
      </c>
      <c r="N31" s="21" t="n">
        <v>28</v>
      </c>
    </row>
    <row r="32">
      <c r="A32" s="42" t="n">
        <v>29</v>
      </c>
      <c r="B32" s="4" t="inlineStr">
        <is>
          <t>Кустовое</t>
        </is>
      </c>
      <c r="C32" s="4" t="n">
        <v>3027</v>
      </c>
      <c r="D32" s="4" t="inlineStr">
        <is>
          <t>Изменение притока</t>
        </is>
      </c>
      <c r="E32" s="15" t="n">
        <v>46067</v>
      </c>
      <c r="F32" s="15" t="n">
        <v>46095</v>
      </c>
      <c r="G32" s="37" t="n"/>
      <c r="H32" s="46" t="n">
        <v>46085.0030787037</v>
      </c>
      <c r="I32" s="46" t="n">
        <v>46095</v>
      </c>
      <c r="J32" s="4" t="n"/>
      <c r="K32" s="4" t="n"/>
      <c r="L32" s="6" t="n">
        <v>0.36</v>
      </c>
      <c r="M32" s="7" t="n">
        <v>10</v>
      </c>
      <c r="N32" s="20" t="n">
        <v>28</v>
      </c>
    </row>
    <row r="33">
      <c r="A33" s="41" t="n">
        <v>30</v>
      </c>
      <c r="B33" s="8" t="inlineStr">
        <is>
          <t>Южно-Ягунское</t>
        </is>
      </c>
      <c r="C33" s="8" t="n">
        <v>610</v>
      </c>
      <c r="D33" s="8" t="inlineStr">
        <is>
          <t>Изменение притока</t>
        </is>
      </c>
      <c r="E33" s="14" t="n">
        <v>46071</v>
      </c>
      <c r="F33" s="14" t="n">
        <v>46104</v>
      </c>
      <c r="G33" s="36" t="inlineStr">
        <is>
          <t>Была остановка 03.03.2026 (игнорировать ее)</t>
        </is>
      </c>
      <c r="H33" s="45" t="n">
        <v>46088.56922453704</v>
      </c>
      <c r="I33" s="45" t="n">
        <v>46104</v>
      </c>
      <c r="J33" s="8" t="n"/>
      <c r="K33" s="8" t="n"/>
      <c r="L33" s="10" t="n">
        <v>0.47</v>
      </c>
      <c r="M33" s="11" t="n">
        <v>15.4</v>
      </c>
      <c r="N33" s="21" t="n">
        <v>33</v>
      </c>
    </row>
    <row r="34" ht="15" customHeight="1" thickBot="1">
      <c r="A34" s="44" t="n">
        <v>31</v>
      </c>
      <c r="B34" s="16" t="inlineStr">
        <is>
          <t>Южно-Ягунское</t>
        </is>
      </c>
      <c r="C34" s="16" t="n">
        <v>602</v>
      </c>
      <c r="D34" s="16" t="inlineStr">
        <is>
          <t>Изменение притока</t>
        </is>
      </c>
      <c r="E34" s="17" t="n">
        <v>46004</v>
      </c>
      <c r="F34" s="17" t="n">
        <v>46094</v>
      </c>
      <c r="G34" s="39" t="n"/>
      <c r="H34" s="47" t="n">
        <v>46047.04059027778</v>
      </c>
      <c r="I34" s="47" t="n">
        <v>46059.05017361111</v>
      </c>
      <c r="J34" s="47" t="n">
        <v>46073.5734375</v>
      </c>
      <c r="K34" s="47" t="n">
        <v>46094</v>
      </c>
      <c r="L34" s="18" t="n">
        <v>0.13</v>
      </c>
      <c r="M34" s="19" t="n">
        <v>12</v>
      </c>
      <c r="N34" s="23" t="n">
        <v>90</v>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2026-01-29T19:12:52Z</dcterms:created>
  <dcterms:modified xsi:type="dcterms:W3CDTF">2026-04-27T09:48:23Z</dcterms:modified>
  <cp:lastModifiedBy>Chics Razer</cp:lastModifiedBy>
</cp:coreProperties>
</file>