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afae\alma_servie\data\reference\"/>
    </mc:Choice>
  </mc:AlternateContent>
  <xr:revisionPtr revIDLastSave="0" documentId="13_ncr:1_{B19BFBAC-CD8B-4B9D-9CBD-ABDBED2484AA}" xr6:coauthVersionLast="47" xr6:coauthVersionMax="47" xr10:uidLastSave="{00000000-0000-0000-0000-000000000000}"/>
  <bookViews>
    <workbookView xWindow="-110" yWindow="-110" windowWidth="25820" windowHeight="15500" xr2:uid="{BB3161D3-3B7B-4D46-A259-ADB2A2FDD4F0}"/>
  </bookViews>
  <sheets>
    <sheet name="Лист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0" i="1" l="1"/>
  <c r="N20" i="1"/>
  <c r="M20" i="1"/>
  <c r="L19" i="1"/>
  <c r="M19" i="1"/>
  <c r="N19" i="1"/>
  <c r="L5" i="1"/>
  <c r="L6" i="1"/>
  <c r="L7" i="1"/>
  <c r="L8" i="1"/>
  <c r="L9" i="1"/>
  <c r="L10" i="1"/>
  <c r="L11" i="1"/>
  <c r="L12" i="1"/>
  <c r="L16" i="1"/>
  <c r="L17" i="1"/>
  <c r="L18" i="1"/>
  <c r="L4" i="1"/>
  <c r="N5" i="1"/>
  <c r="N6" i="1"/>
  <c r="N7" i="1"/>
  <c r="N8" i="1"/>
  <c r="N9" i="1"/>
  <c r="N10" i="1"/>
  <c r="N11" i="1"/>
  <c r="N12" i="1"/>
  <c r="N13" i="1"/>
  <c r="N14" i="1"/>
  <c r="N15" i="1"/>
  <c r="L15" i="1" s="1"/>
  <c r="N16" i="1"/>
  <c r="N17" i="1"/>
  <c r="N18" i="1"/>
  <c r="N4" i="1"/>
  <c r="M5" i="1"/>
  <c r="M6" i="1"/>
  <c r="M7" i="1"/>
  <c r="M8" i="1"/>
  <c r="M9" i="1"/>
  <c r="M10" i="1"/>
  <c r="M11" i="1"/>
  <c r="M12" i="1"/>
  <c r="M13" i="1"/>
  <c r="L13" i="1" s="1"/>
  <c r="M14" i="1"/>
  <c r="L14" i="1" s="1"/>
  <c r="M15" i="1"/>
  <c r="M16" i="1"/>
  <c r="M17" i="1"/>
  <c r="M18" i="1"/>
  <c r="M4" i="1"/>
</calcChain>
</file>

<file path=xl/sharedStrings.xml><?xml version="1.0" encoding="utf-8"?>
<sst xmlns="http://schemas.openxmlformats.org/spreadsheetml/2006/main" count="64" uniqueCount="36">
  <si>
    <t>Месторождение</t>
  </si>
  <si>
    <t>Скважина</t>
  </si>
  <si>
    <t>Кустовое</t>
  </si>
  <si>
    <t>3244Г</t>
  </si>
  <si>
    <t>Восточно-Икилорское</t>
  </si>
  <si>
    <t>149г</t>
  </si>
  <si>
    <t>Дружное</t>
  </si>
  <si>
    <t>3245(2)</t>
  </si>
  <si>
    <t>Дата начала выгрузки</t>
  </si>
  <si>
    <t>Дата конца выгрузки</t>
  </si>
  <si>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</si>
  <si>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</si>
  <si>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</si>
  <si>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</si>
  <si>
    <t>Комментарий</t>
  </si>
  <si>
    <t>№</t>
  </si>
  <si>
    <t>Дата начала аномалии</t>
  </si>
  <si>
    <t>Дата конца аномалии</t>
  </si>
  <si>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</si>
  <si>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</si>
  <si>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</si>
  <si>
    <t>Южно-Ягунское</t>
  </si>
  <si>
    <t>5271г</t>
  </si>
  <si>
    <t>3509г</t>
  </si>
  <si>
    <t>1123л</t>
  </si>
  <si>
    <t>Яркое</t>
  </si>
  <si>
    <t>172г</t>
  </si>
  <si>
    <t>Негерметичность НКТ</t>
  </si>
  <si>
    <t>Изменение притока</t>
  </si>
  <si>
    <t>Соли</t>
  </si>
  <si>
    <t>Тип аномалии</t>
  </si>
  <si>
    <t>% аномалии от общей выгрузки</t>
  </si>
  <si>
    <t>2991г</t>
  </si>
  <si>
    <t>Время аномалии</t>
  </si>
  <si>
    <t>Общее время выгрузки</t>
  </si>
  <si>
    <t>129л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</si>
</sst>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charset val="204"/>
      <scheme val="minor"/>
    </font>
    <font>
      <sz val="9"/>
      <name val="Times New Roman"/>
      <family val="1"/>
    </font>
    <font>
      <sz val="11"/>
      <color theme="1"/>
      <name val="Calibri"/>
      <family val="2"/>
      <charset val="204"/>
      <scheme val="minor"/>
    </font>
  </fonts>
  <fills count="5">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rgb="FF92D050"/>
        <bgColor indexed="64"/>
      </patternFill>
    </fill>
  </fills>
  <borders count="1">
    <border>
      <left/>
      <right/>
      <top/>
      <bottom/>
      <diagonal/>
    </border>
  </borders>
  <cellStyleXfs count="3">
    <xf numFmtId="0" fontId="0" fillId="0" borderId="0"/>
    <xf numFmtId="0" fontId="1" fillId="0" borderId="0"/>
    <xf numFmtId="9" fontId="2" fillId="0" borderId="0" applyFont="0" applyFill="0" applyBorder="0" applyAlignment="0" applyProtection="0"/>
  </cellStyleXfs>
  <cellXfs count="27">
    <xf numFmtId="0" fontId="0" fillId="0" borderId="0" xfId="0"/>
    <xf numFmtId="0" fontId="0" fillId="0" borderId="0" xfId="0" applyAlignment="1">
      <alignment horizontal="center"/>
    </xf>
    <xf numFmtId="0" fontId="0" fillId="0" borderId="0" xfId="0" applyAlignment="1">
      <alignment horizontal="center" wrapText="1"/>
    </xf>
    <xf numFmtId="0" fontId="0" fillId="0" borderId="0" xfId="0" applyAlignment="1">
      <alignment horizontal="center" vertical="center"/>
    </xf>
    <xf numFmtId="22" fontId="0" fillId="0" borderId="0" xfId="0" applyNumberFormat="1" applyAlignment="1">
      <alignment horizontal="center" vertical="center"/>
    </xf>
    <xf numFmtId="9" fontId="0" fillId="0" borderId="0" xfId="2" applyFont="1" applyAlignment="1">
      <alignment horizontal="center" vertical="center"/>
    </xf>
    <xf numFmtId="164" fontId="0" fillId="0" borderId="0" xfId="0" applyNumberFormat="1" applyAlignment="1">
      <alignment horizontal="center" vertical="center"/>
    </xf>
    <xf numFmtId="0" fontId="0" fillId="2" borderId="0" xfId="0" applyFill="1" applyAlignment="1">
      <alignment horizontal="center"/>
    </xf>
    <xf numFmtId="22" fontId="0" fillId="2" borderId="0" xfId="0" applyNumberFormat="1" applyFill="1" applyAlignment="1">
      <alignment horizontal="center"/>
    </xf>
    <xf numFmtId="9" fontId="0" fillId="2" borderId="0" xfId="2" applyFont="1" applyFill="1" applyAlignment="1">
      <alignment horizontal="center" vertical="center"/>
    </xf>
    <xf numFmtId="164" fontId="0" fillId="2" borderId="0" xfId="0" applyNumberFormat="1" applyFill="1" applyAlignment="1">
      <alignment horizontal="center" vertical="center"/>
    </xf>
    <xf numFmtId="0" fontId="0" fillId="2" borderId="0" xfId="0" applyFill="1" applyAlignment="1">
      <alignment horizontal="center" vertical="center"/>
    </xf>
    <xf numFmtId="22" fontId="0" fillId="2" borderId="0" xfId="0" applyNumberFormat="1" applyFill="1" applyAlignment="1">
      <alignment horizontal="center" vertical="center"/>
    </xf>
    <xf numFmtId="0" fontId="0" fillId="2" borderId="0" xfId="0" applyFill="1" applyAlignment="1">
      <alignment horizontal="center" wrapText="1"/>
    </xf>
    <xf numFmtId="14" fontId="0" fillId="2" borderId="0" xfId="0" applyNumberFormat="1" applyFill="1" applyAlignment="1">
      <alignment horizontal="center"/>
    </xf>
    <xf numFmtId="0" fontId="0" fillId="3" borderId="0" xfId="0" applyFill="1" applyAlignment="1">
      <alignment horizontal="center"/>
    </xf>
    <xf numFmtId="22" fontId="0" fillId="3" borderId="0" xfId="0" applyNumberFormat="1" applyFill="1" applyAlignment="1">
      <alignment horizontal="center"/>
    </xf>
    <xf numFmtId="9" fontId="0" fillId="3" borderId="0" xfId="2" applyFont="1" applyFill="1" applyAlignment="1">
      <alignment horizontal="center" vertical="center"/>
    </xf>
    <xf numFmtId="164" fontId="0" fillId="3" borderId="0" xfId="0" applyNumberFormat="1" applyFill="1" applyAlignment="1">
      <alignment horizontal="center" vertical="center"/>
    </xf>
    <xf numFmtId="14" fontId="0" fillId="3" borderId="0" xfId="0" applyNumberFormat="1" applyFill="1" applyAlignment="1">
      <alignment horizontal="center"/>
    </xf>
    <xf numFmtId="0" fontId="0" fillId="4" borderId="0" xfId="0" applyFill="1" applyAlignment="1">
      <alignment horizontal="center"/>
    </xf>
    <xf numFmtId="22" fontId="0" fillId="4" borderId="0" xfId="0" applyNumberFormat="1" applyFill="1" applyAlignment="1">
      <alignment horizontal="center"/>
    </xf>
    <xf numFmtId="9" fontId="0" fillId="4" borderId="0" xfId="2" applyFont="1" applyFill="1" applyAlignment="1">
      <alignment horizontal="center" vertical="center"/>
    </xf>
    <xf numFmtId="164" fontId="0" fillId="4" borderId="0" xfId="0" applyNumberFormat="1" applyFill="1" applyAlignment="1">
      <alignment horizontal="center" vertical="center"/>
    </xf>
    <xf numFmtId="0" fontId="0" fillId="4" borderId="0" xfId="0" applyFont="1" applyFill="1" applyAlignment="1">
      <alignment horizontal="center"/>
    </xf>
    <xf numFmtId="22" fontId="0" fillId="4" borderId="0" xfId="0" applyNumberFormat="1" applyFont="1" applyFill="1" applyAlignment="1">
      <alignment horizontal="center"/>
    </xf>
    <xf numFmtId="164" fontId="0" fillId="4" borderId="0" xfId="0" applyNumberFormat="1" applyFont="1" applyFill="1" applyAlignment="1">
      <alignment horizontal="center" vertical="center"/>
    </xf>
  </cellXfs>
  <cellStyles count="3">
    <cellStyle name="Обычный" xfId="0" builtinId="0"/>
    <cellStyle name="Обычный 5" xfId="1" xr:uid="{46ECF215-99F1-4C9D-9F24-C4550A5BB72E}"/>
    <cellStyle name="Процентный"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41B45-64EC-4A9F-8500-64078998A578}">
  <dimension ref="A3:N20"/>
  <sheetViews>
    <sheetView tabSelected="1" topLeftCell="A7" zoomScale="85" zoomScaleNormal="85" workbookViewId="0">
      <selection activeCell="G14" sqref="G14"/>
    </sheetView>
  </sheetViews>
  <sheetFormatPr defaultColWidth="8.90625" defaultRowHeight="14.5" x14ac:dyDescent="0.35"/>
  <cols>
    <col min="1" max="1" width="8.90625" style="1"/>
    <col min="2" max="2" width="21.08984375" style="1" bestFit="1" customWidth="1"/>
    <col min="3" max="3" width="9.54296875" style="1" bestFit="1" customWidth="1"/>
    <col min="4" max="4" width="20.453125" style="1" bestFit="1" customWidth="1"/>
    <col min="5" max="5" width="21" style="1" bestFit="1" customWidth="1"/>
    <col min="6" max="6" width="20" style="1" bestFit="1" customWidth="1"/>
    <col min="7" max="7" width="44.6328125" style="1" customWidth="1"/>
    <col min="8" max="8" width="21.90625" style="1" bestFit="1" customWidth="1"/>
    <col min="9" max="9" width="20.90625" style="1" bestFit="1" customWidth="1"/>
    <col min="10" max="10" width="21.90625" style="1" bestFit="1" customWidth="1"/>
    <col min="11" max="11" width="20.90625" style="1" bestFit="1" customWidth="1"/>
    <col min="12" max="12" width="28.90625" style="1" bestFit="1" customWidth="1"/>
    <col min="13" max="13" width="15.453125" style="3" bestFit="1" customWidth="1"/>
    <col min="14" max="14" width="21.81640625" style="3" bestFit="1" customWidth="1"/>
    <col min="15" max="16384" width="8.90625" style="1"/>
  </cols>
  <sheetData>
    <row r="3" spans="1:14" x14ac:dyDescent="0.35">
      <c r="A3" s="1" t="s">
        <v>15</v>
      </c>
      <c r="B3" s="1" t="s">
        <v>0</v>
      </c>
      <c r="C3" s="1" t="s">
        <v>1</v>
      </c>
      <c r="D3" s="1" t="s">
        <v>30</v>
      </c>
      <c r="E3" s="1" t="s">
        <v>8</v>
      </c>
      <c r="F3" s="1" t="s">
        <v>9</v>
      </c>
      <c r="G3" s="1" t="s">
        <v>14</v>
      </c>
      <c r="H3" s="1" t="s">
        <v>16</v>
      </c>
      <c r="I3" s="1" t="s">
        <v>17</v>
      </c>
      <c r="J3" s="1" t="s">
        <v>16</v>
      </c>
      <c r="K3" s="1" t="s">
        <v>17</v>
      </c>
      <c r="L3" s="1" t="s">
        <v>31</v>
      </c>
      <c r="M3" s="3" t="s">
        <v>33</v>
      </c>
      <c r="N3" s="3" t="s">
        <v>34</v>
      </c>
    </row>
    <row r="4" spans="1:14" ht="78.5" customHeight="1" x14ac:dyDescent="0.35">
      <c r="A4" s="3">
        <v>1</v>
      </c>
      <c r="B4" s="3" t="s">
        <v>2</v>
      </c>
      <c r="C4" s="3" t="s">
        <v>3</v>
      </c>
      <c r="D4" s="3" t="s">
        <v>29</v>
      </c>
      <c r="E4" s="4">
        <v>45962.083333333336</v>
      </c>
      <c r="F4" s="4">
        <v>46023.083333333336</v>
      </c>
      <c r="G4" s="2" t="s">
        <v>19</v>
      </c>
      <c r="H4" s="4">
        <v>45984</v>
      </c>
      <c r="I4" s="4">
        <v>46020.666666666664</v>
      </c>
      <c r="L4" s="5">
        <f>M4/N4</f>
        <v>0.60109289617482364</v>
      </c>
      <c r="M4" s="6">
        <f>I4-H4</f>
        <v>36.666666666664241</v>
      </c>
      <c r="N4" s="6">
        <f>F4-E4</f>
        <v>61</v>
      </c>
    </row>
    <row r="5" spans="1:14" ht="89.5" customHeight="1" x14ac:dyDescent="0.35">
      <c r="A5" s="11">
        <v>2</v>
      </c>
      <c r="B5" s="11" t="s">
        <v>2</v>
      </c>
      <c r="C5" s="11">
        <v>3245</v>
      </c>
      <c r="D5" s="11" t="s">
        <v>29</v>
      </c>
      <c r="E5" s="12">
        <v>45658.083333333336</v>
      </c>
      <c r="F5" s="12">
        <v>45789.083333333336</v>
      </c>
      <c r="G5" s="13" t="s">
        <v>11</v>
      </c>
      <c r="H5" s="12">
        <v>45761.697222222225</v>
      </c>
      <c r="I5" s="12">
        <v>45789.083333333336</v>
      </c>
      <c r="J5" s="14"/>
      <c r="K5" s="14"/>
      <c r="L5" s="9">
        <f t="shared" ref="L5:L20" si="0">M5/N5</f>
        <v>0.20905428329092327</v>
      </c>
      <c r="M5" s="10">
        <f t="shared" ref="M5:M18" si="1">I5-H5</f>
        <v>27.386111111110949</v>
      </c>
      <c r="N5" s="10">
        <f t="shared" ref="N5:N18" si="2">F5-E5</f>
        <v>131</v>
      </c>
    </row>
    <row r="6" spans="1:14" ht="70.5" customHeight="1" x14ac:dyDescent="0.35">
      <c r="A6" s="11">
        <v>3</v>
      </c>
      <c r="B6" s="11" t="s">
        <v>4</v>
      </c>
      <c r="C6" s="11" t="s">
        <v>5</v>
      </c>
      <c r="D6" s="11" t="s">
        <v>29</v>
      </c>
      <c r="E6" s="12">
        <v>45809.083333333336</v>
      </c>
      <c r="F6" s="12">
        <v>45836.083333333336</v>
      </c>
      <c r="G6" s="13" t="s">
        <v>12</v>
      </c>
      <c r="H6" s="12">
        <v>45828.633333333331</v>
      </c>
      <c r="I6" s="12">
        <v>45836.083333333336</v>
      </c>
      <c r="J6" s="7"/>
      <c r="K6" s="7"/>
      <c r="L6" s="9">
        <f t="shared" si="0"/>
        <v>0.27592592592608761</v>
      </c>
      <c r="M6" s="10">
        <f t="shared" si="1"/>
        <v>7.4500000000043656</v>
      </c>
      <c r="N6" s="10">
        <f t="shared" si="2"/>
        <v>27</v>
      </c>
    </row>
    <row r="7" spans="1:14" ht="60.5" customHeight="1" x14ac:dyDescent="0.35">
      <c r="A7" s="11">
        <v>4</v>
      </c>
      <c r="B7" s="11" t="s">
        <v>2</v>
      </c>
      <c r="C7" s="11">
        <v>3269</v>
      </c>
      <c r="D7" s="11" t="s">
        <v>29</v>
      </c>
      <c r="E7" s="12">
        <v>45931.083333333336</v>
      </c>
      <c r="F7" s="12">
        <v>45959.083333333336</v>
      </c>
      <c r="G7" s="13" t="s">
        <v>18</v>
      </c>
      <c r="H7" s="12">
        <v>45945.083333333336</v>
      </c>
      <c r="I7" s="12">
        <v>45957.489583333336</v>
      </c>
      <c r="J7" s="7"/>
      <c r="K7" s="7"/>
      <c r="L7" s="9">
        <f t="shared" si="0"/>
        <v>0.44308035714285715</v>
      </c>
      <c r="M7" s="10">
        <f t="shared" si="1"/>
        <v>12.40625</v>
      </c>
      <c r="N7" s="10">
        <f t="shared" si="2"/>
        <v>28</v>
      </c>
    </row>
    <row r="8" spans="1:14" ht="93" customHeight="1" x14ac:dyDescent="0.35">
      <c r="A8" s="11">
        <v>5</v>
      </c>
      <c r="B8" s="11" t="s">
        <v>6</v>
      </c>
      <c r="C8" s="11">
        <v>4039</v>
      </c>
      <c r="D8" s="11" t="s">
        <v>29</v>
      </c>
      <c r="E8" s="12">
        <v>45748.083333333336</v>
      </c>
      <c r="F8" s="12">
        <v>45931.083333333336</v>
      </c>
      <c r="G8" s="13" t="s">
        <v>13</v>
      </c>
      <c r="H8" s="12">
        <v>45806.458333333336</v>
      </c>
      <c r="I8" s="12">
        <v>45815.631944444445</v>
      </c>
      <c r="J8" s="7"/>
      <c r="K8" s="7"/>
      <c r="L8" s="9">
        <f t="shared" si="0"/>
        <v>5.0129022465079207E-2</v>
      </c>
      <c r="M8" s="10">
        <f t="shared" si="1"/>
        <v>9.1736111111094942</v>
      </c>
      <c r="N8" s="10">
        <f t="shared" si="2"/>
        <v>183</v>
      </c>
    </row>
    <row r="9" spans="1:14" ht="76.5" customHeight="1" x14ac:dyDescent="0.35">
      <c r="A9" s="11">
        <v>6</v>
      </c>
      <c r="B9" s="11" t="s">
        <v>6</v>
      </c>
      <c r="C9" s="11">
        <v>408</v>
      </c>
      <c r="D9" s="11" t="s">
        <v>29</v>
      </c>
      <c r="E9" s="12">
        <v>45748.083333333336</v>
      </c>
      <c r="F9" s="12">
        <v>45900.083333333336</v>
      </c>
      <c r="G9" s="13" t="s">
        <v>20</v>
      </c>
      <c r="H9" s="12">
        <v>45810.194444444445</v>
      </c>
      <c r="I9" s="12">
        <v>45834.472222222219</v>
      </c>
      <c r="J9" s="12">
        <v>45860.791666666664</v>
      </c>
      <c r="K9" s="12">
        <v>45892.613888888889</v>
      </c>
      <c r="L9" s="9">
        <f t="shared" si="0"/>
        <v>0.15972222222219562</v>
      </c>
      <c r="M9" s="10">
        <f t="shared" si="1"/>
        <v>24.277777777773736</v>
      </c>
      <c r="N9" s="10">
        <f t="shared" si="2"/>
        <v>152</v>
      </c>
    </row>
    <row r="10" spans="1:14" ht="27.5" customHeight="1" x14ac:dyDescent="0.35">
      <c r="A10" s="11">
        <v>7</v>
      </c>
      <c r="B10" s="11" t="s">
        <v>2</v>
      </c>
      <c r="C10" s="11" t="s">
        <v>7</v>
      </c>
      <c r="D10" s="11" t="s">
        <v>29</v>
      </c>
      <c r="E10" s="12">
        <v>45870.083333333336</v>
      </c>
      <c r="F10" s="12">
        <v>45968.083333333336</v>
      </c>
      <c r="G10" s="13" t="s">
        <v>10</v>
      </c>
      <c r="H10" s="12">
        <v>45934.083333333336</v>
      </c>
      <c r="I10" s="12">
        <v>45968.083333333336</v>
      </c>
      <c r="J10" s="7"/>
      <c r="K10" s="7"/>
      <c r="L10" s="9">
        <f t="shared" si="0"/>
        <v>0.34693877551020408</v>
      </c>
      <c r="M10" s="10">
        <f t="shared" si="1"/>
        <v>34</v>
      </c>
      <c r="N10" s="10">
        <f t="shared" si="2"/>
        <v>98</v>
      </c>
    </row>
    <row r="11" spans="1:14" s="20" customFormat="1" x14ac:dyDescent="0.35">
      <c r="A11" s="20">
        <v>8</v>
      </c>
      <c r="B11" s="20" t="s">
        <v>21</v>
      </c>
      <c r="C11" s="20" t="s">
        <v>22</v>
      </c>
      <c r="D11" s="20" t="s">
        <v>27</v>
      </c>
      <c r="E11" s="21">
        <v>45883.083333333336</v>
      </c>
      <c r="F11" s="21">
        <v>45885.083333333336</v>
      </c>
      <c r="H11" s="21">
        <v>45884.025694444441</v>
      </c>
      <c r="I11" s="21">
        <v>45884.115277777775</v>
      </c>
      <c r="L11" s="22">
        <f t="shared" si="0"/>
        <v>4.4791666667151731E-2</v>
      </c>
      <c r="M11" s="23">
        <f t="shared" si="1"/>
        <v>8.9583333334303461E-2</v>
      </c>
      <c r="N11" s="23">
        <f t="shared" si="2"/>
        <v>2</v>
      </c>
    </row>
    <row r="12" spans="1:14" s="20" customFormat="1" x14ac:dyDescent="0.35">
      <c r="A12" s="20">
        <v>9</v>
      </c>
      <c r="B12" s="20" t="s">
        <v>21</v>
      </c>
      <c r="C12" s="20">
        <v>524</v>
      </c>
      <c r="D12" s="20" t="s">
        <v>27</v>
      </c>
      <c r="E12" s="21">
        <v>45817.083333333336</v>
      </c>
      <c r="F12" s="21">
        <v>45819.083333333336</v>
      </c>
      <c r="H12" s="21">
        <v>45817.818055555559</v>
      </c>
      <c r="I12" s="21">
        <v>45818.645833333336</v>
      </c>
      <c r="L12" s="22">
        <f t="shared" si="0"/>
        <v>0.41388888888832298</v>
      </c>
      <c r="M12" s="23">
        <f t="shared" si="1"/>
        <v>0.82777777777664596</v>
      </c>
      <c r="N12" s="23">
        <f t="shared" si="2"/>
        <v>2</v>
      </c>
    </row>
    <row r="13" spans="1:14" s="20" customFormat="1" x14ac:dyDescent="0.35">
      <c r="A13" s="20">
        <v>10</v>
      </c>
      <c r="B13" s="20" t="s">
        <v>2</v>
      </c>
      <c r="C13" s="20" t="s">
        <v>23</v>
      </c>
      <c r="D13" s="20" t="s">
        <v>27</v>
      </c>
      <c r="E13" s="21">
        <v>45879.083333333336</v>
      </c>
      <c r="F13" s="21">
        <v>45880.083333333336</v>
      </c>
      <c r="H13" s="21">
        <v>45879.402777777781</v>
      </c>
      <c r="I13" s="21">
        <v>45879.892361111109</v>
      </c>
      <c r="L13" s="22">
        <f t="shared" si="0"/>
        <v>0.48958333332848269</v>
      </c>
      <c r="M13" s="23">
        <f t="shared" si="1"/>
        <v>0.48958333332848269</v>
      </c>
      <c r="N13" s="23">
        <f t="shared" si="2"/>
        <v>1</v>
      </c>
    </row>
    <row r="14" spans="1:14" s="20" customFormat="1" x14ac:dyDescent="0.35">
      <c r="A14" s="20">
        <v>11</v>
      </c>
      <c r="B14" s="20" t="s">
        <v>2</v>
      </c>
      <c r="C14" s="20" t="s">
        <v>24</v>
      </c>
      <c r="D14" s="20" t="s">
        <v>27</v>
      </c>
      <c r="E14" s="21">
        <v>45828.083333333336</v>
      </c>
      <c r="F14" s="21">
        <v>45830.083333333336</v>
      </c>
      <c r="H14" s="21">
        <v>45829.355555555558</v>
      </c>
      <c r="I14" s="21">
        <v>45829.987500000003</v>
      </c>
      <c r="L14" s="22">
        <f t="shared" si="0"/>
        <v>0.31597222222262644</v>
      </c>
      <c r="M14" s="23">
        <f t="shared" si="1"/>
        <v>0.63194444444525288</v>
      </c>
      <c r="N14" s="23">
        <f t="shared" si="2"/>
        <v>2</v>
      </c>
    </row>
    <row r="15" spans="1:14" s="20" customFormat="1" x14ac:dyDescent="0.35">
      <c r="A15" s="24">
        <v>12</v>
      </c>
      <c r="B15" s="24" t="s">
        <v>25</v>
      </c>
      <c r="C15" s="24" t="s">
        <v>26</v>
      </c>
      <c r="D15" s="24" t="s">
        <v>27</v>
      </c>
      <c r="E15" s="25">
        <v>45775.083333333336</v>
      </c>
      <c r="F15" s="25">
        <v>45784.083333333336</v>
      </c>
      <c r="G15" s="24"/>
      <c r="H15" s="25">
        <v>45780.479166666664</v>
      </c>
      <c r="I15" s="25">
        <v>45784.083333333336</v>
      </c>
      <c r="J15" s="24"/>
      <c r="K15" s="24"/>
      <c r="L15" s="22">
        <f t="shared" si="0"/>
        <v>0.40046296296350192</v>
      </c>
      <c r="M15" s="26">
        <f t="shared" si="1"/>
        <v>3.6041666666715173</v>
      </c>
      <c r="N15" s="26">
        <f t="shared" si="2"/>
        <v>9</v>
      </c>
    </row>
    <row r="16" spans="1:14" x14ac:dyDescent="0.35">
      <c r="A16" s="7">
        <v>13</v>
      </c>
      <c r="B16" s="7" t="s">
        <v>2</v>
      </c>
      <c r="C16" s="7">
        <v>3261</v>
      </c>
      <c r="D16" s="7" t="s">
        <v>28</v>
      </c>
      <c r="E16" s="8">
        <v>45931.083333333336</v>
      </c>
      <c r="F16" s="8">
        <v>45966.083333333336</v>
      </c>
      <c r="G16" s="7"/>
      <c r="H16" s="14">
        <v>45953</v>
      </c>
      <c r="I16" s="8">
        <v>45966.083333333336</v>
      </c>
      <c r="J16" s="7"/>
      <c r="K16" s="7"/>
      <c r="L16" s="9">
        <f t="shared" si="0"/>
        <v>0.37380952380959309</v>
      </c>
      <c r="M16" s="10">
        <f t="shared" si="1"/>
        <v>13.083333333335759</v>
      </c>
      <c r="N16" s="10">
        <f t="shared" si="2"/>
        <v>35</v>
      </c>
    </row>
    <row r="17" spans="1:14" x14ac:dyDescent="0.35">
      <c r="A17" s="7">
        <v>14</v>
      </c>
      <c r="B17" s="7" t="s">
        <v>21</v>
      </c>
      <c r="C17" s="7">
        <v>495</v>
      </c>
      <c r="D17" s="7" t="s">
        <v>28</v>
      </c>
      <c r="E17" s="8">
        <v>45922.083333333336</v>
      </c>
      <c r="F17" s="8">
        <v>45947.083333333336</v>
      </c>
      <c r="G17" s="7"/>
      <c r="H17" s="14">
        <v>45938</v>
      </c>
      <c r="I17" s="8">
        <v>45947.083333333336</v>
      </c>
      <c r="J17" s="7"/>
      <c r="K17" s="7"/>
      <c r="L17" s="9">
        <f t="shared" si="0"/>
        <v>0.36333333333343032</v>
      </c>
      <c r="M17" s="10">
        <f t="shared" si="1"/>
        <v>9.0833333333357587</v>
      </c>
      <c r="N17" s="10">
        <f t="shared" si="2"/>
        <v>25</v>
      </c>
    </row>
    <row r="18" spans="1:14" x14ac:dyDescent="0.35">
      <c r="A18" s="15">
        <v>15</v>
      </c>
      <c r="B18" s="15" t="s">
        <v>21</v>
      </c>
      <c r="C18" s="15">
        <v>902</v>
      </c>
      <c r="D18" s="15" t="s">
        <v>28</v>
      </c>
      <c r="E18" s="16">
        <v>45945.083333333336</v>
      </c>
      <c r="F18" s="16">
        <v>45976.083333333336</v>
      </c>
      <c r="G18" s="15"/>
      <c r="H18" s="19">
        <v>45952</v>
      </c>
      <c r="I18" s="16">
        <v>45976.083333333336</v>
      </c>
      <c r="J18" s="15"/>
      <c r="K18" s="15"/>
      <c r="L18" s="17">
        <f t="shared" si="0"/>
        <v>0.77688172043018577</v>
      </c>
      <c r="M18" s="18">
        <f t="shared" si="1"/>
        <v>24.083333333335759</v>
      </c>
      <c r="N18" s="18">
        <f t="shared" si="2"/>
        <v>31</v>
      </c>
    </row>
    <row r="19" spans="1:14" x14ac:dyDescent="0.35">
      <c r="A19" s="15">
        <v>16</v>
      </c>
      <c r="B19" s="15" t="s">
        <v>2</v>
      </c>
      <c r="C19" s="15" t="s">
        <v>32</v>
      </c>
      <c r="D19" s="15" t="s">
        <v>29</v>
      </c>
      <c r="E19" s="16">
        <v>45988.083333333336</v>
      </c>
      <c r="F19" s="16">
        <v>46015.083333333336</v>
      </c>
      <c r="G19" s="15"/>
      <c r="H19" s="16">
        <v>46002.166666666664</v>
      </c>
      <c r="I19" s="16">
        <v>46015.083333333336</v>
      </c>
      <c r="J19" s="15"/>
      <c r="K19" s="15"/>
      <c r="L19" s="17">
        <f t="shared" si="0"/>
        <v>0.47839506172857471</v>
      </c>
      <c r="M19" s="18">
        <f t="shared" ref="M19:M20" si="3">I19-H19</f>
        <v>12.916666666671517</v>
      </c>
      <c r="N19" s="18">
        <f t="shared" ref="N19:N20" si="4">F19-E19</f>
        <v>27</v>
      </c>
    </row>
    <row r="20" spans="1:14" x14ac:dyDescent="0.35">
      <c r="A20" s="15">
        <v>17</v>
      </c>
      <c r="B20" s="15" t="s">
        <v>21</v>
      </c>
      <c r="C20" s="15" t="s">
        <v>35</v>
      </c>
      <c r="D20" s="15" t="s">
        <v>28</v>
      </c>
      <c r="E20" s="16">
        <v>45992.083333333336</v>
      </c>
      <c r="F20" s="16">
        <v>46054.083333333336</v>
      </c>
      <c r="G20" s="15"/>
      <c r="H20" s="16">
        <v>46032.083333333336</v>
      </c>
      <c r="I20" s="16">
        <v>46054.083333333336</v>
      </c>
      <c r="J20" s="15"/>
      <c r="K20" s="15"/>
      <c r="L20" s="17">
        <f t="shared" si="0"/>
        <v>0.35483870967741937</v>
      </c>
      <c r="M20" s="18">
        <f t="shared" si="3"/>
        <v>22</v>
      </c>
      <c r="N20" s="18">
        <f t="shared" si="4"/>
        <v>62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Chics Razer</cp:lastModifiedBy>
  <dcterms:created xsi:type="dcterms:W3CDTF">2026-01-29T19:12:52Z</dcterms:created>
  <dcterms:modified xsi:type="dcterms:W3CDTF">2026-03-15T21:12:05Z</dcterms:modified>
</cp:coreProperties>
</file>