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esktop\Соли для ВШН\"/>
    </mc:Choice>
  </mc:AlternateContent>
  <xr:revisionPtr revIDLastSave="0" documentId="13_ncr:1_{65BAEA0A-22B3-4114-BD78-EF30A362B709}" xr6:coauthVersionLast="47" xr6:coauthVersionMax="47" xr10:uidLastSave="{00000000-0000-0000-0000-000000000000}"/>
  <bookViews>
    <workbookView xWindow="28680" yWindow="-120" windowWidth="29040" windowHeight="15720" xr2:uid="{BB3161D3-3B7B-4D46-A259-ADB2A2FDD4F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 i="1" l="1"/>
  <c r="N20" i="1"/>
  <c r="M20" i="1"/>
  <c r="L19" i="1"/>
  <c r="M19" i="1"/>
  <c r="N19" i="1"/>
  <c r="L5" i="1"/>
  <c r="L6" i="1"/>
  <c r="L7" i="1"/>
  <c r="L8" i="1"/>
  <c r="L9" i="1"/>
  <c r="L10" i="1"/>
  <c r="L11" i="1"/>
  <c r="L12" i="1"/>
  <c r="L13" i="1"/>
  <c r="L14" i="1"/>
  <c r="L16" i="1"/>
  <c r="L17" i="1"/>
  <c r="L18" i="1"/>
  <c r="L4" i="1"/>
  <c r="N5" i="1"/>
  <c r="N6" i="1"/>
  <c r="N7" i="1"/>
  <c r="N8" i="1"/>
  <c r="N9" i="1"/>
  <c r="N10" i="1"/>
  <c r="N11" i="1"/>
  <c r="N12" i="1"/>
  <c r="N13" i="1"/>
  <c r="N14" i="1"/>
  <c r="N15" i="1"/>
  <c r="L15" i="1" s="1"/>
  <c r="N16" i="1"/>
  <c r="N17" i="1"/>
  <c r="N18" i="1"/>
  <c r="N4" i="1"/>
  <c r="M5" i="1"/>
  <c r="M6" i="1"/>
  <c r="M7" i="1"/>
  <c r="M8" i="1"/>
  <c r="M9" i="1"/>
  <c r="M10" i="1"/>
  <c r="M11" i="1"/>
  <c r="M12" i="1"/>
  <c r="M13" i="1"/>
  <c r="M14" i="1"/>
  <c r="M15" i="1"/>
  <c r="M16" i="1"/>
  <c r="M17" i="1"/>
  <c r="M18" i="1"/>
  <c r="M4" i="1"/>
</calcChain>
</file>

<file path=xl/sharedStrings.xml><?xml version="1.0" encoding="utf-8"?>
<sst xmlns="http://schemas.openxmlformats.org/spreadsheetml/2006/main" count="64" uniqueCount="36">
  <si>
    <t>Месторождение</t>
  </si>
  <si>
    <t>Скважина</t>
  </si>
  <si>
    <t>Кустовое</t>
  </si>
  <si>
    <t>3244Г</t>
  </si>
  <si>
    <t>Восточно-Икилорское</t>
  </si>
  <si>
    <t>149г</t>
  </si>
  <si>
    <t>Дружное</t>
  </si>
  <si>
    <t>3245(2)</t>
  </si>
  <si>
    <t>Дата начала выгрузки</t>
  </si>
  <si>
    <t>Дата конца выгрузки</t>
  </si>
  <si>
    <t>13.09.2025 начался рост давления на приеме, что свидетельствует об ухудшение работы ГНО, предположительно соли. Далее 16.09.2025 происходит резкое снижение давления на приеме, обусловленное увеличение выходной частоты. Далее с 05.10.2025 наблюдается повторный рост давления на приеме, что опять свидетельствует об ухудшение работы ГНО, предположительно соли. 17.10.2025 происходит резкое снижение давления на приеме вновь вызванное увеличением выходной частоты. Далее сразу плавный трендовый рост давления на приеме и активное образование солей до конца выгрузки.</t>
  </si>
  <si>
    <t>С 22.03.2025 наблюдается снижение давления на приеме без изменения частоты, что предположительно обусловлено снижением пластового давления. После этого 14.04.2025 снижение давления на приеме остановилось и тренд развернулся на рост давления на приеме, что свидетельствует о начале ухудшения работы ГНО. 18.04.2025 произошло резкое незначительное падение давления на приеме в момент увеличения выходной частоты. Такое мгновенное снижение давления на приеме вместе с увеличеничем выходной частоты - нормальное явление. Далее 22.04.2025 повторно увеличение выходной частоты привело к резкому снижению давления на приеме (нормально). После этого 24.04.2025 началось интенсивное отложение солей и рост давления на приеме до конца выгрузки</t>
  </si>
  <si>
    <t>С 20.06.2025 начался интенсивный рост давления на приеме. 24.06.2025 снижение давления на приеме вызванное увеличением выходной частоты. Далее вновь рост давления на приеме до конца выгрузки</t>
  </si>
  <si>
    <t>29.05.2025 наблюдается начало восходящего тренда давления на приеме. Средняя выходная частота при этом также в последнее время увеличивалась и достигла максимальных значений. При этом давление на приеме продолжало идти в рост</t>
  </si>
  <si>
    <t>Комментарий</t>
  </si>
  <si>
    <t>№</t>
  </si>
  <si>
    <t>Дата начала аномалии</t>
  </si>
  <si>
    <t>Дата конца аномалии</t>
  </si>
  <si>
    <t>08.10.2025 увеличение выходной частоты незначительно отразилось на давлении на приеме. С 15.10.2025 наблюдается визуально начало восходящего тренда увеличения давления на приеме. 21.10.2025 повторное увеличение выходной частоты немного снизило давление на приеме. Но все равно после этого восходящий тренд давления на приеме продолжился</t>
  </si>
  <si>
    <t xml:space="preserve">На данной скважине выходная частота увеличивалась трендового, а не ступенчато. Одним из факторов того, что на скважине происходит ухудшение работы ГНО это то, что при увеличении выходной частоты продолжается рост давления на приеме. Как пример, на этой скважине рост давления на приеме начался с 23.11.2025 при этом выходная частота также примерно с этого момента начала увеличиваться. В данном кейсе явно выраженное солеотложение, когда интенсивный рост выходной частоты не может привести к снижению давления на приеме </t>
  </si>
  <si>
    <t>02.06.2025 наблюдается начало восходящего тренда давления на приеме до 26.06.2025. 01.07.2025 провели обработку от солей. Давление на приеме начало снижаться. Однако, с 09.07.2025 тренд вновь начал идти вверх, а с 03.08.2025 еще более интенсивнее до 23.08.2025, когда повторно провели обработку от солей. В данном кейсе рассмотрены 2 аномалии по солям</t>
  </si>
  <si>
    <t>Южно-Ягунское</t>
  </si>
  <si>
    <t>5271г</t>
  </si>
  <si>
    <t>3509г</t>
  </si>
  <si>
    <t>1123л</t>
  </si>
  <si>
    <t>Яркое</t>
  </si>
  <si>
    <t>172г</t>
  </si>
  <si>
    <t>Негерметичность НКТ</t>
  </si>
  <si>
    <t>Изменение притока</t>
  </si>
  <si>
    <t>Соли</t>
  </si>
  <si>
    <t>Тип аномалии</t>
  </si>
  <si>
    <t>% аномалии от общей выгрузки</t>
  </si>
  <si>
    <t>2991г</t>
  </si>
  <si>
    <t>Время аномалии</t>
  </si>
  <si>
    <t>Общее время выгрузки</t>
  </si>
  <si>
    <t>129л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</si>
</sst>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charset val="204"/>
      <scheme val="minor"/>
    </font>
    <font>
      <sz val="9"/>
      <name val="Times New Roman"/>
      <family val="1"/>
    </font>
    <font>
      <sz val="11"/>
      <color theme="1"/>
      <name val="Calibri"/>
      <family val="2"/>
      <charset val="204"/>
      <scheme val="minor"/>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3">
    <xf numFmtId="0" fontId="0" fillId="0" borderId="0"/>
    <xf numFmtId="0" fontId="1" fillId="0" borderId="0"/>
    <xf numFmtId="9" fontId="2" fillId="0" borderId="0" applyFont="0" applyFill="0" applyBorder="0" applyAlignment="0" applyProtection="0"/>
  </cellStyleXfs>
  <cellXfs count="23">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22" fontId="0" fillId="0" borderId="0" xfId="0" applyNumberFormat="1" applyAlignment="1">
      <alignment horizontal="center" vertical="center"/>
    </xf>
    <xf numFmtId="9" fontId="0" fillId="0" borderId="0" xfId="2" applyFont="1"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xf>
    <xf numFmtId="22" fontId="0" fillId="2" borderId="0" xfId="0" applyNumberFormat="1" applyFill="1" applyAlignment="1">
      <alignment horizontal="center"/>
    </xf>
    <xf numFmtId="9" fontId="0" fillId="2" borderId="0" xfId="2" applyFont="1" applyFill="1" applyAlignment="1">
      <alignment horizontal="center" vertical="center"/>
    </xf>
    <xf numFmtId="164" fontId="0" fillId="2" borderId="0" xfId="0" applyNumberFormat="1" applyFill="1" applyAlignment="1">
      <alignment horizontal="center" vertical="center"/>
    </xf>
    <xf numFmtId="0" fontId="0" fillId="2" borderId="0" xfId="0" applyFill="1" applyAlignment="1">
      <alignment horizontal="center" vertical="center"/>
    </xf>
    <xf numFmtId="22" fontId="0" fillId="2" borderId="0" xfId="0" applyNumberFormat="1" applyFill="1" applyAlignment="1">
      <alignment horizontal="center" vertical="center"/>
    </xf>
    <xf numFmtId="0" fontId="0" fillId="2" borderId="0" xfId="0" applyFill="1" applyAlignment="1">
      <alignment horizontal="center" wrapText="1"/>
    </xf>
    <xf numFmtId="14" fontId="0" fillId="2" borderId="0" xfId="0" applyNumberFormat="1" applyFill="1" applyAlignment="1">
      <alignment horizontal="center"/>
    </xf>
    <xf numFmtId="0" fontId="0" fillId="3" borderId="0" xfId="0" applyFill="1" applyAlignment="1">
      <alignment horizontal="center"/>
    </xf>
    <xf numFmtId="22" fontId="0" fillId="3" borderId="0" xfId="0" applyNumberFormat="1" applyFill="1" applyAlignment="1">
      <alignment horizontal="center"/>
    </xf>
    <xf numFmtId="9" fontId="0" fillId="3" borderId="0" xfId="2" applyFont="1" applyFill="1" applyAlignment="1">
      <alignment horizontal="center" vertical="center"/>
    </xf>
    <xf numFmtId="164" fontId="0" fillId="3" borderId="0" xfId="0" applyNumberFormat="1" applyFill="1" applyAlignment="1">
      <alignment horizontal="center" vertical="center"/>
    </xf>
    <xf numFmtId="0" fontId="0" fillId="2" borderId="0" xfId="0" applyFont="1" applyFill="1" applyAlignment="1">
      <alignment horizontal="center"/>
    </xf>
    <xf numFmtId="22" fontId="0" fillId="2" borderId="0" xfId="0" applyNumberFormat="1" applyFont="1" applyFill="1" applyAlignment="1">
      <alignment horizontal="center"/>
    </xf>
    <xf numFmtId="164" fontId="0" fillId="2" borderId="0" xfId="0" applyNumberFormat="1" applyFont="1" applyFill="1" applyAlignment="1">
      <alignment horizontal="center" vertical="center"/>
    </xf>
    <xf numFmtId="14" fontId="0" fillId="3" borderId="0" xfId="0" applyNumberFormat="1" applyFill="1" applyAlignment="1">
      <alignment horizontal="center"/>
    </xf>
  </cellXfs>
  <cellStyles count="3">
    <cellStyle name="Обычный" xfId="0" builtinId="0"/>
    <cellStyle name="Обычный 5" xfId="1" xr:uid="{46ECF215-99F1-4C9D-9F24-C4550A5BB72E}"/>
    <cellStyle name="Процентный"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41B45-64EC-4A9F-8500-64078998A578}">
  <dimension ref="A3:N20"/>
  <sheetViews>
    <sheetView tabSelected="1" zoomScale="55" zoomScaleNormal="55" workbookViewId="0">
      <selection activeCell="E29" sqref="E29"/>
    </sheetView>
  </sheetViews>
  <sheetFormatPr defaultRowHeight="14.4" x14ac:dyDescent="0.3"/>
  <cols>
    <col min="1" max="1" width="8.88671875" style="1"/>
    <col min="2" max="2" width="21.109375" style="1" bestFit="1" customWidth="1"/>
    <col min="3" max="3" width="9.5546875" style="1" bestFit="1" customWidth="1"/>
    <col min="4" max="4" width="20.44140625" style="1" bestFit="1" customWidth="1"/>
    <col min="5" max="5" width="21" style="1" bestFit="1" customWidth="1"/>
    <col min="6" max="6" width="20" style="1" bestFit="1" customWidth="1"/>
    <col min="7" max="7" width="78.33203125" style="1" customWidth="1"/>
    <col min="8" max="8" width="21.88671875" style="1" bestFit="1" customWidth="1"/>
    <col min="9" max="9" width="20.88671875" style="1" bestFit="1" customWidth="1"/>
    <col min="10" max="10" width="21.88671875" style="1" bestFit="1" customWidth="1"/>
    <col min="11" max="11" width="20.88671875" style="1" bestFit="1" customWidth="1"/>
    <col min="12" max="12" width="28.88671875" style="1" bestFit="1" customWidth="1"/>
    <col min="13" max="13" width="15.44140625" style="3" bestFit="1" customWidth="1"/>
    <col min="14" max="14" width="21.77734375" style="3" bestFit="1" customWidth="1"/>
    <col min="15" max="16384" width="8.88671875" style="1"/>
  </cols>
  <sheetData>
    <row r="3" spans="1:14" x14ac:dyDescent="0.3">
      <c r="A3" s="1" t="s">
        <v>15</v>
      </c>
      <c r="B3" s="1" t="s">
        <v>0</v>
      </c>
      <c r="C3" s="1" t="s">
        <v>1</v>
      </c>
      <c r="D3" s="1" t="s">
        <v>30</v>
      </c>
      <c r="E3" s="1" t="s">
        <v>8</v>
      </c>
      <c r="F3" s="1" t="s">
        <v>9</v>
      </c>
      <c r="G3" s="1" t="s">
        <v>14</v>
      </c>
      <c r="H3" s="1" t="s">
        <v>16</v>
      </c>
      <c r="I3" s="1" t="s">
        <v>17</v>
      </c>
      <c r="J3" s="1" t="s">
        <v>16</v>
      </c>
      <c r="K3" s="1" t="s">
        <v>17</v>
      </c>
      <c r="L3" s="1" t="s">
        <v>31</v>
      </c>
      <c r="M3" s="3" t="s">
        <v>33</v>
      </c>
      <c r="N3" s="3" t="s">
        <v>34</v>
      </c>
    </row>
    <row r="4" spans="1:14" ht="100.8" x14ac:dyDescent="0.3">
      <c r="A4" s="3">
        <v>1</v>
      </c>
      <c r="B4" s="3" t="s">
        <v>2</v>
      </c>
      <c r="C4" s="3" t="s">
        <v>3</v>
      </c>
      <c r="D4" s="3" t="s">
        <v>29</v>
      </c>
      <c r="E4" s="4">
        <v>45962.083333333336</v>
      </c>
      <c r="F4" s="4">
        <v>46023.083333333336</v>
      </c>
      <c r="G4" s="2" t="s">
        <v>19</v>
      </c>
      <c r="H4" s="4">
        <v>45984</v>
      </c>
      <c r="I4" s="4">
        <v>46020.666666666664</v>
      </c>
      <c r="L4" s="5">
        <f>M4/N4</f>
        <v>0.60109289617482364</v>
      </c>
      <c r="M4" s="6">
        <f>I4-H4</f>
        <v>36.666666666664241</v>
      </c>
      <c r="N4" s="6">
        <f>F4-E4</f>
        <v>61</v>
      </c>
    </row>
    <row r="5" spans="1:14" ht="144" x14ac:dyDescent="0.3">
      <c r="A5" s="11">
        <v>2</v>
      </c>
      <c r="B5" s="11" t="s">
        <v>2</v>
      </c>
      <c r="C5" s="11">
        <v>3245</v>
      </c>
      <c r="D5" s="11" t="s">
        <v>29</v>
      </c>
      <c r="E5" s="12">
        <v>45658.083333333336</v>
      </c>
      <c r="F5" s="12">
        <v>45789.083333333336</v>
      </c>
      <c r="G5" s="13" t="s">
        <v>11</v>
      </c>
      <c r="H5" s="12">
        <v>45761.697222222225</v>
      </c>
      <c r="I5" s="12">
        <v>45789.083333333336</v>
      </c>
      <c r="J5" s="14"/>
      <c r="K5" s="14"/>
      <c r="L5" s="9">
        <f t="shared" ref="L5:L20" si="0">M5/N5</f>
        <v>0.20905428329092327</v>
      </c>
      <c r="M5" s="10">
        <f t="shared" ref="M5:M18" si="1">I5-H5</f>
        <v>27.386111111110949</v>
      </c>
      <c r="N5" s="10">
        <f t="shared" ref="N5:N18" si="2">F5-E5</f>
        <v>131</v>
      </c>
    </row>
    <row r="6" spans="1:14" ht="43.2" x14ac:dyDescent="0.3">
      <c r="A6" s="11">
        <v>3</v>
      </c>
      <c r="B6" s="11" t="s">
        <v>4</v>
      </c>
      <c r="C6" s="11" t="s">
        <v>5</v>
      </c>
      <c r="D6" s="11" t="s">
        <v>29</v>
      </c>
      <c r="E6" s="12">
        <v>45809.083333333336</v>
      </c>
      <c r="F6" s="12">
        <v>45836.083333333336</v>
      </c>
      <c r="G6" s="13" t="s">
        <v>12</v>
      </c>
      <c r="H6" s="12">
        <v>45828.633333333331</v>
      </c>
      <c r="I6" s="12">
        <v>45836.083333333336</v>
      </c>
      <c r="J6" s="7"/>
      <c r="K6" s="7"/>
      <c r="L6" s="9">
        <f t="shared" si="0"/>
        <v>0.27592592592608761</v>
      </c>
      <c r="M6" s="10">
        <f t="shared" si="1"/>
        <v>7.4500000000043656</v>
      </c>
      <c r="N6" s="10">
        <f t="shared" si="2"/>
        <v>27</v>
      </c>
    </row>
    <row r="7" spans="1:14" ht="72" x14ac:dyDescent="0.3">
      <c r="A7" s="11">
        <v>4</v>
      </c>
      <c r="B7" s="11" t="s">
        <v>2</v>
      </c>
      <c r="C7" s="11">
        <v>3269</v>
      </c>
      <c r="D7" s="11" t="s">
        <v>29</v>
      </c>
      <c r="E7" s="12">
        <v>45931.083333333336</v>
      </c>
      <c r="F7" s="12">
        <v>45959.083333333336</v>
      </c>
      <c r="G7" s="13" t="s">
        <v>18</v>
      </c>
      <c r="H7" s="12">
        <v>45945.083333333336</v>
      </c>
      <c r="I7" s="12">
        <v>45957.489583333336</v>
      </c>
      <c r="J7" s="7"/>
      <c r="K7" s="7"/>
      <c r="L7" s="9">
        <f t="shared" si="0"/>
        <v>0.44308035714285715</v>
      </c>
      <c r="M7" s="10">
        <f t="shared" si="1"/>
        <v>12.40625</v>
      </c>
      <c r="N7" s="10">
        <f t="shared" si="2"/>
        <v>28</v>
      </c>
    </row>
    <row r="8" spans="1:14" ht="43.2" x14ac:dyDescent="0.3">
      <c r="A8" s="11">
        <v>5</v>
      </c>
      <c r="B8" s="11" t="s">
        <v>6</v>
      </c>
      <c r="C8" s="11">
        <v>4039</v>
      </c>
      <c r="D8" s="11" t="s">
        <v>29</v>
      </c>
      <c r="E8" s="12">
        <v>45748.083333333336</v>
      </c>
      <c r="F8" s="12">
        <v>45931.083333333336</v>
      </c>
      <c r="G8" s="13" t="s">
        <v>13</v>
      </c>
      <c r="H8" s="12">
        <v>45806.458333333336</v>
      </c>
      <c r="I8" s="12">
        <v>45815.631944444445</v>
      </c>
      <c r="J8" s="7"/>
      <c r="K8" s="7"/>
      <c r="L8" s="9">
        <f t="shared" si="0"/>
        <v>5.0129022465079207E-2</v>
      </c>
      <c r="M8" s="10">
        <f t="shared" si="1"/>
        <v>9.1736111111094942</v>
      </c>
      <c r="N8" s="10">
        <f t="shared" si="2"/>
        <v>183</v>
      </c>
    </row>
    <row r="9" spans="1:14" ht="72" x14ac:dyDescent="0.3">
      <c r="A9" s="11">
        <v>6</v>
      </c>
      <c r="B9" s="11" t="s">
        <v>6</v>
      </c>
      <c r="C9" s="11">
        <v>408</v>
      </c>
      <c r="D9" s="11" t="s">
        <v>29</v>
      </c>
      <c r="E9" s="12">
        <v>45748.083333333336</v>
      </c>
      <c r="F9" s="12">
        <v>45900.083333333336</v>
      </c>
      <c r="G9" s="13" t="s">
        <v>20</v>
      </c>
      <c r="H9" s="12">
        <v>45810.194444444445</v>
      </c>
      <c r="I9" s="12">
        <v>45834.472222222219</v>
      </c>
      <c r="J9" s="12">
        <v>45860.791666666664</v>
      </c>
      <c r="K9" s="12">
        <v>45892.613888888889</v>
      </c>
      <c r="L9" s="9">
        <f t="shared" si="0"/>
        <v>0.15972222222219562</v>
      </c>
      <c r="M9" s="10">
        <f t="shared" si="1"/>
        <v>24.277777777773736</v>
      </c>
      <c r="N9" s="10">
        <f t="shared" si="2"/>
        <v>152</v>
      </c>
    </row>
    <row r="10" spans="1:14" ht="115.2" x14ac:dyDescent="0.3">
      <c r="A10" s="11">
        <v>7</v>
      </c>
      <c r="B10" s="11" t="s">
        <v>2</v>
      </c>
      <c r="C10" s="11" t="s">
        <v>7</v>
      </c>
      <c r="D10" s="11" t="s">
        <v>29</v>
      </c>
      <c r="E10" s="12">
        <v>45870.083333333336</v>
      </c>
      <c r="F10" s="12">
        <v>45968.083333333336</v>
      </c>
      <c r="G10" s="13" t="s">
        <v>10</v>
      </c>
      <c r="H10" s="12">
        <v>45934.083333333336</v>
      </c>
      <c r="I10" s="12">
        <v>45968.083333333336</v>
      </c>
      <c r="J10" s="7"/>
      <c r="K10" s="7"/>
      <c r="L10" s="9">
        <f t="shared" si="0"/>
        <v>0.34693877551020408</v>
      </c>
      <c r="M10" s="10">
        <f t="shared" si="1"/>
        <v>34</v>
      </c>
      <c r="N10" s="10">
        <f t="shared" si="2"/>
        <v>98</v>
      </c>
    </row>
    <row r="11" spans="1:14" x14ac:dyDescent="0.3">
      <c r="A11" s="7">
        <v>8</v>
      </c>
      <c r="B11" s="7" t="s">
        <v>21</v>
      </c>
      <c r="C11" s="7" t="s">
        <v>22</v>
      </c>
      <c r="D11" s="7" t="s">
        <v>27</v>
      </c>
      <c r="E11" s="8">
        <v>45883.083333333336</v>
      </c>
      <c r="F11" s="8">
        <v>45885.083333333336</v>
      </c>
      <c r="G11" s="7"/>
      <c r="H11" s="8">
        <v>45884.109027777777</v>
      </c>
      <c r="I11" s="8">
        <v>45884.115277777775</v>
      </c>
      <c r="J11" s="7"/>
      <c r="K11" s="7"/>
      <c r="L11" s="9">
        <f t="shared" si="0"/>
        <v>3.1249999992724042E-3</v>
      </c>
      <c r="M11" s="10">
        <f t="shared" si="1"/>
        <v>6.2499999985448085E-3</v>
      </c>
      <c r="N11" s="10">
        <f t="shared" si="2"/>
        <v>2</v>
      </c>
    </row>
    <row r="12" spans="1:14" x14ac:dyDescent="0.3">
      <c r="A12" s="7">
        <v>9</v>
      </c>
      <c r="B12" s="7" t="s">
        <v>21</v>
      </c>
      <c r="C12" s="7">
        <v>524</v>
      </c>
      <c r="D12" s="7" t="s">
        <v>27</v>
      </c>
      <c r="E12" s="8">
        <v>45817.083333333336</v>
      </c>
      <c r="F12" s="8">
        <v>45819.083333333336</v>
      </c>
      <c r="G12" s="7"/>
      <c r="H12" s="8">
        <v>45817.901388888888</v>
      </c>
      <c r="I12" s="8">
        <v>45818.645833333336</v>
      </c>
      <c r="J12" s="7"/>
      <c r="K12" s="7"/>
      <c r="L12" s="9">
        <f t="shared" si="0"/>
        <v>0.37222222222408163</v>
      </c>
      <c r="M12" s="10">
        <f t="shared" si="1"/>
        <v>0.74444444444816327</v>
      </c>
      <c r="N12" s="10">
        <f t="shared" si="2"/>
        <v>2</v>
      </c>
    </row>
    <row r="13" spans="1:14" x14ac:dyDescent="0.3">
      <c r="A13" s="7">
        <v>10</v>
      </c>
      <c r="B13" s="7" t="s">
        <v>2</v>
      </c>
      <c r="C13" s="7" t="s">
        <v>23</v>
      </c>
      <c r="D13" s="7" t="s">
        <v>27</v>
      </c>
      <c r="E13" s="8">
        <v>45879.083333333336</v>
      </c>
      <c r="F13" s="8">
        <v>45880.083333333336</v>
      </c>
      <c r="G13" s="7"/>
      <c r="H13" s="8">
        <v>45879.486111111109</v>
      </c>
      <c r="I13" s="8">
        <v>45879.892361111109</v>
      </c>
      <c r="J13" s="7"/>
      <c r="K13" s="7"/>
      <c r="L13" s="9">
        <f t="shared" si="0"/>
        <v>0.40625</v>
      </c>
      <c r="M13" s="10">
        <f t="shared" si="1"/>
        <v>0.40625</v>
      </c>
      <c r="N13" s="10">
        <f t="shared" si="2"/>
        <v>1</v>
      </c>
    </row>
    <row r="14" spans="1:14" x14ac:dyDescent="0.3">
      <c r="A14" s="7">
        <v>11</v>
      </c>
      <c r="B14" s="7" t="s">
        <v>2</v>
      </c>
      <c r="C14" s="7" t="s">
        <v>24</v>
      </c>
      <c r="D14" s="7" t="s">
        <v>27</v>
      </c>
      <c r="E14" s="8">
        <v>45828.083333333336</v>
      </c>
      <c r="F14" s="8">
        <v>45830.083333333336</v>
      </c>
      <c r="G14" s="7"/>
      <c r="H14" s="8">
        <v>45829.438888888886</v>
      </c>
      <c r="I14" s="8">
        <v>45829.987500000003</v>
      </c>
      <c r="J14" s="7"/>
      <c r="K14" s="7"/>
      <c r="L14" s="9">
        <f t="shared" si="0"/>
        <v>0.27430555555838509</v>
      </c>
      <c r="M14" s="10">
        <f t="shared" si="1"/>
        <v>0.54861111111677019</v>
      </c>
      <c r="N14" s="10">
        <f t="shared" si="2"/>
        <v>2</v>
      </c>
    </row>
    <row r="15" spans="1:14" x14ac:dyDescent="0.3">
      <c r="A15" s="19">
        <v>12</v>
      </c>
      <c r="B15" s="19" t="s">
        <v>25</v>
      </c>
      <c r="C15" s="19" t="s">
        <v>26</v>
      </c>
      <c r="D15" s="19" t="s">
        <v>27</v>
      </c>
      <c r="E15" s="20">
        <v>45775.083333333336</v>
      </c>
      <c r="F15" s="20">
        <v>45784.083333333336</v>
      </c>
      <c r="G15" s="19"/>
      <c r="H15" s="20">
        <v>45780.5625</v>
      </c>
      <c r="I15" s="20">
        <v>45784.083333333336</v>
      </c>
      <c r="J15" s="19"/>
      <c r="K15" s="19"/>
      <c r="L15" s="9">
        <f t="shared" si="0"/>
        <v>0.39120370370397317</v>
      </c>
      <c r="M15" s="21">
        <f t="shared" si="1"/>
        <v>3.5208333333357587</v>
      </c>
      <c r="N15" s="21">
        <f t="shared" si="2"/>
        <v>9</v>
      </c>
    </row>
    <row r="16" spans="1:14" x14ac:dyDescent="0.3">
      <c r="A16" s="7">
        <v>13</v>
      </c>
      <c r="B16" s="7" t="s">
        <v>2</v>
      </c>
      <c r="C16" s="7">
        <v>3261</v>
      </c>
      <c r="D16" s="7" t="s">
        <v>28</v>
      </c>
      <c r="E16" s="8">
        <v>45931.083333333336</v>
      </c>
      <c r="F16" s="8">
        <v>45966.083333333336</v>
      </c>
      <c r="G16" s="7"/>
      <c r="H16" s="14">
        <v>45953</v>
      </c>
      <c r="I16" s="8">
        <v>45966.083333333336</v>
      </c>
      <c r="J16" s="7"/>
      <c r="K16" s="7"/>
      <c r="L16" s="9">
        <f t="shared" si="0"/>
        <v>0.37380952380959309</v>
      </c>
      <c r="M16" s="10">
        <f t="shared" si="1"/>
        <v>13.083333333335759</v>
      </c>
      <c r="N16" s="10">
        <f t="shared" si="2"/>
        <v>35</v>
      </c>
    </row>
    <row r="17" spans="1:14" x14ac:dyDescent="0.3">
      <c r="A17" s="7">
        <v>14</v>
      </c>
      <c r="B17" s="7" t="s">
        <v>21</v>
      </c>
      <c r="C17" s="7">
        <v>495</v>
      </c>
      <c r="D17" s="7" t="s">
        <v>28</v>
      </c>
      <c r="E17" s="8">
        <v>45922.083333333336</v>
      </c>
      <c r="F17" s="8">
        <v>45947.083333333336</v>
      </c>
      <c r="G17" s="7"/>
      <c r="H17" s="14">
        <v>45938</v>
      </c>
      <c r="I17" s="8">
        <v>45947.083333333336</v>
      </c>
      <c r="J17" s="7"/>
      <c r="K17" s="7"/>
      <c r="L17" s="9">
        <f t="shared" si="0"/>
        <v>0.36333333333343032</v>
      </c>
      <c r="M17" s="10">
        <f t="shared" si="1"/>
        <v>9.0833333333357587</v>
      </c>
      <c r="N17" s="10">
        <f t="shared" si="2"/>
        <v>25</v>
      </c>
    </row>
    <row r="18" spans="1:14" x14ac:dyDescent="0.3">
      <c r="A18" s="15">
        <v>15</v>
      </c>
      <c r="B18" s="15" t="s">
        <v>21</v>
      </c>
      <c r="C18" s="15">
        <v>902</v>
      </c>
      <c r="D18" s="15" t="s">
        <v>28</v>
      </c>
      <c r="E18" s="16">
        <v>45945.083333333336</v>
      </c>
      <c r="F18" s="16">
        <v>45976.083333333336</v>
      </c>
      <c r="G18" s="15"/>
      <c r="H18" s="22">
        <v>45952</v>
      </c>
      <c r="I18" s="16">
        <v>45976.083333333336</v>
      </c>
      <c r="J18" s="15"/>
      <c r="K18" s="15"/>
      <c r="L18" s="17">
        <f t="shared" si="0"/>
        <v>0.77688172043018577</v>
      </c>
      <c r="M18" s="18">
        <f t="shared" si="1"/>
        <v>24.083333333335759</v>
      </c>
      <c r="N18" s="18">
        <f t="shared" si="2"/>
        <v>31</v>
      </c>
    </row>
    <row r="19" spans="1:14" x14ac:dyDescent="0.3">
      <c r="A19" s="15">
        <v>16</v>
      </c>
      <c r="B19" s="15" t="s">
        <v>2</v>
      </c>
      <c r="C19" s="15" t="s">
        <v>32</v>
      </c>
      <c r="D19" s="15" t="s">
        <v>29</v>
      </c>
      <c r="E19" s="16">
        <v>45988.083333333336</v>
      </c>
      <c r="F19" s="16">
        <v>46015.083333333336</v>
      </c>
      <c r="G19" s="15"/>
      <c r="H19" s="16">
        <v>46002.166666666664</v>
      </c>
      <c r="I19" s="16">
        <v>46015.083333333336</v>
      </c>
      <c r="J19" s="15"/>
      <c r="K19" s="15"/>
      <c r="L19" s="17">
        <f t="shared" si="0"/>
        <v>0.47839506172857471</v>
      </c>
      <c r="M19" s="18">
        <f t="shared" ref="M19:M20" si="3">I19-H19</f>
        <v>12.916666666671517</v>
      </c>
      <c r="N19" s="18">
        <f t="shared" ref="N19:N20" si="4">F19-E19</f>
        <v>27</v>
      </c>
    </row>
    <row r="20" spans="1:14" x14ac:dyDescent="0.3">
      <c r="A20" s="15">
        <v>17</v>
      </c>
      <c r="B20" s="15" t="s">
        <v>21</v>
      </c>
      <c r="C20" s="15" t="s">
        <v>35</v>
      </c>
      <c r="D20" s="15" t="s">
        <v>28</v>
      </c>
      <c r="E20" s="16">
        <v>45992.083333333336</v>
      </c>
      <c r="F20" s="16">
        <v>46054.083333333336</v>
      </c>
      <c r="G20" s="15"/>
      <c r="H20" s="16">
        <v>46032.083333333336</v>
      </c>
      <c r="I20" s="16">
        <v>46054.083333333336</v>
      </c>
      <c r="J20" s="15"/>
      <c r="K20" s="15"/>
      <c r="L20" s="17">
        <f t="shared" si="0"/>
        <v>0.35483870967741937</v>
      </c>
      <c r="M20" s="18">
        <f t="shared" si="3"/>
        <v>22</v>
      </c>
      <c r="N20" s="18">
        <f t="shared" si="4"/>
        <v>62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2026-01-29T19:12:52Z</dcterms:created>
  <dcterms:modified xsi:type="dcterms:W3CDTF">2026-03-11T15:57:42Z</dcterms:modified>
</cp:coreProperties>
</file>